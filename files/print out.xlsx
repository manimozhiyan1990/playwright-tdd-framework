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7476" windowHeight="2676"/>
  </bookViews>
  <sheets>
    <sheet name="Sheet1" sheetId="1" r:id="rId1"/>
    <sheet name="Sheet2" sheetId="2" r:id="rId2"/>
    <sheet name="Sheet4" sheetId="4" r:id="rId3"/>
    <sheet name="Sheet3" sheetId="3" r:id="rId4"/>
    <sheet name="Sheet5" sheetId="5" r:id="rId5"/>
  </sheets>
  <externalReferences>
    <externalReference r:id="rId6"/>
  </externalReferences>
  <definedNames>
    <definedName name="_xlnm.Print_Area" localSheetId="0">Sheet1!$A$1:$K$40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0" i="5" l="1"/>
  <c r="A5" i="3" l="1"/>
  <c r="A6" i="3" s="1"/>
  <c r="A7" i="3" s="1"/>
  <c r="A8" i="3" s="1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5" i="2"/>
  <c r="A6" i="2" s="1"/>
  <c r="A7" i="2" s="1"/>
  <c r="A8" i="2" s="1"/>
  <c r="A9" i="2" s="1"/>
  <c r="A10" i="2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</calcChain>
</file>

<file path=xl/sharedStrings.xml><?xml version="1.0" encoding="utf-8"?>
<sst xmlns="http://schemas.openxmlformats.org/spreadsheetml/2006/main" count="530" uniqueCount="168">
  <si>
    <t>GANG LIST</t>
  </si>
  <si>
    <t>SL.NO</t>
  </si>
  <si>
    <t>NAME</t>
  </si>
  <si>
    <t>FATHER/HUSBAND NAME</t>
  </si>
  <si>
    <t>DESIGNATION</t>
  </si>
  <si>
    <t>CONTACT NUMBER</t>
  </si>
  <si>
    <t>PROFILE ID NUMBEER</t>
  </si>
  <si>
    <t>CARD NO</t>
  </si>
  <si>
    <t xml:space="preserve">UAN NUMBER </t>
  </si>
  <si>
    <t>GENDER</t>
  </si>
  <si>
    <t>DIVISION</t>
  </si>
  <si>
    <t>GOODS-SHED</t>
  </si>
  <si>
    <t>MANIMOZHIYAN D</t>
  </si>
  <si>
    <t>DURAISAMY S</t>
  </si>
  <si>
    <t>SARDAR</t>
  </si>
  <si>
    <t>7299230515/7908119937</t>
  </si>
  <si>
    <t>MALE</t>
  </si>
  <si>
    <t>KHARAGPUR</t>
  </si>
  <si>
    <t>BALASORE</t>
  </si>
  <si>
    <t>NAVEEN KUMAR P</t>
  </si>
  <si>
    <t>PARAMANATHAM A</t>
  </si>
  <si>
    <t>9677707689/8072463489</t>
  </si>
  <si>
    <t>AJEETH KUMAR B</t>
  </si>
  <si>
    <t>BASKARAN</t>
  </si>
  <si>
    <t>8940177241/ 6383512331</t>
  </si>
  <si>
    <t>AKESH C</t>
  </si>
  <si>
    <t>CHINNA SAMY M</t>
  </si>
  <si>
    <t>9659498283/7010530596</t>
  </si>
  <si>
    <t>ABIJITH T</t>
  </si>
  <si>
    <t>THAVAMANI A A</t>
  </si>
  <si>
    <t>SANTANU DAS</t>
  </si>
  <si>
    <t>DIPAK KUMAR DAS</t>
  </si>
  <si>
    <t>MUNSHI</t>
  </si>
  <si>
    <t>SARATH KUMAR P</t>
  </si>
  <si>
    <t>9597576929/8072480815</t>
  </si>
  <si>
    <t>S.AJITH KUMAR</t>
  </si>
  <si>
    <t>R.SEKAR</t>
  </si>
  <si>
    <t>ABISH C</t>
  </si>
  <si>
    <t>MAHESH WARI A</t>
  </si>
  <si>
    <t>A ARUMUGAM</t>
  </si>
  <si>
    <t>FEMALE</t>
  </si>
  <si>
    <t>SATHISH KUMAR P</t>
  </si>
  <si>
    <t xml:space="preserve">P.PARAMANATHAM </t>
  </si>
  <si>
    <t>K.SARIKA</t>
  </si>
  <si>
    <t>R.KASTHURI</t>
  </si>
  <si>
    <t>R.KAMATCHI ESWARAN</t>
  </si>
  <si>
    <t>M.RAVI</t>
  </si>
  <si>
    <t>R.VENKATESAN</t>
  </si>
  <si>
    <t>R.RAMESH</t>
  </si>
  <si>
    <t>N.MANIKANDA MOORTHY N</t>
  </si>
  <si>
    <t>P.NAVANEETHA ANANTHA KRISHNAN</t>
  </si>
  <si>
    <t>SILAMBARASAN S</t>
  </si>
  <si>
    <t>S.SUBBAN</t>
  </si>
  <si>
    <t>R.SUBRAMANIYAN</t>
  </si>
  <si>
    <t>E.RAKKISAMUTHU</t>
  </si>
  <si>
    <t>RUPSHA</t>
  </si>
  <si>
    <t>DHARMENDRA .V</t>
  </si>
  <si>
    <t>VARATHARAJ</t>
  </si>
  <si>
    <t>9698032906/7010771688</t>
  </si>
  <si>
    <t>RAVIKUMAR S</t>
  </si>
  <si>
    <t>R SUBBURAJ</t>
  </si>
  <si>
    <t>P R KANNAN</t>
  </si>
  <si>
    <t>PR RAJAN</t>
  </si>
  <si>
    <t>VIJAY B</t>
  </si>
  <si>
    <t>R.BASKARAN</t>
  </si>
  <si>
    <t>RAJARAM M</t>
  </si>
  <si>
    <t>MUTHIAH</t>
  </si>
  <si>
    <t>SURYA PRAKASH B</t>
  </si>
  <si>
    <t>BALASUBRAMANIYAM N</t>
  </si>
  <si>
    <t>P.CHANDRU</t>
  </si>
  <si>
    <t>R.PICHAI MUTHU</t>
  </si>
  <si>
    <t>S.SANDHYA</t>
  </si>
  <si>
    <t>P.SHANMUGAM</t>
  </si>
  <si>
    <t>T.UTHAYAKUMAR</t>
  </si>
  <si>
    <t>TEIVENDRAN</t>
  </si>
  <si>
    <t>B.GANESH KUMAR</t>
  </si>
  <si>
    <t>R.BALU</t>
  </si>
  <si>
    <t>N.NITHYA</t>
  </si>
  <si>
    <t>NATARAJAN T</t>
  </si>
  <si>
    <t>NAGARAJAN</t>
  </si>
  <si>
    <t>GUPENDRAN</t>
  </si>
  <si>
    <t>JEEVA P</t>
  </si>
  <si>
    <t>PALANISAMY</t>
  </si>
  <si>
    <t>P.JAI</t>
  </si>
  <si>
    <t>PALDURAI</t>
  </si>
  <si>
    <t>9342061014/6384515958</t>
  </si>
  <si>
    <t>P.OM SIVA</t>
  </si>
  <si>
    <t>SATHIYAMOORTY</t>
  </si>
  <si>
    <t>PARAMANATHAM</t>
  </si>
  <si>
    <t>PREETHI P</t>
  </si>
  <si>
    <t>8940057715/8072480815</t>
  </si>
  <si>
    <t>EMAYAVARAMBAN</t>
  </si>
  <si>
    <t>JAYARAM</t>
  </si>
  <si>
    <t>ARUN KUMAR</t>
  </si>
  <si>
    <t>MANAVALAN</t>
  </si>
  <si>
    <t>LABOUR</t>
  </si>
  <si>
    <t>RAJAVELU</t>
  </si>
  <si>
    <t>RAJKUMAR V.R</t>
  </si>
  <si>
    <t>1055090235155158</t>
  </si>
  <si>
    <t>CHENAAI</t>
  </si>
  <si>
    <t>CHENNAI HARBOUR</t>
  </si>
  <si>
    <t>AADHAR NO</t>
  </si>
  <si>
    <t xml:space="preserve">LINKED </t>
  </si>
  <si>
    <t>PENDING</t>
  </si>
  <si>
    <t>208020025441132</t>
  </si>
  <si>
    <t>RAJAVELU V R</t>
  </si>
  <si>
    <t>RAJKUMAR V</t>
  </si>
  <si>
    <t>10550902350155100</t>
  </si>
  <si>
    <t>902350155158</t>
  </si>
  <si>
    <t>PAYMENT</t>
  </si>
  <si>
    <t>C.RAMESH</t>
  </si>
  <si>
    <t>A.CHINNA KUNJU</t>
  </si>
  <si>
    <t xml:space="preserve">2080200527100903
</t>
  </si>
  <si>
    <t xml:space="preserve">MANIMARAN </t>
  </si>
  <si>
    <t>RAMAKRISHNAN</t>
  </si>
  <si>
    <t>2080200527169509</t>
  </si>
  <si>
    <t>Txn Date</t>
  </si>
  <si>
    <t>Description</t>
  </si>
  <si>
    <t>Ref No./Cheque No.</t>
  </si>
  <si>
    <t>Credit</t>
  </si>
  <si>
    <t xml:space="preserve">   BY TRANSFER-INB Donation--</t>
  </si>
  <si>
    <t>IT00EQJTB7               TRANSFER FROM 20272953533</t>
  </si>
  <si>
    <t xml:space="preserve">   BY TRANSFER-SBILT28062021170219197662-Sir--</t>
  </si>
  <si>
    <t xml:space="preserve">TRANSFER FROM 20272953533                         </t>
  </si>
  <si>
    <t xml:space="preserve">   BY TRANSFER-SBILT12072021161540794421-Hh--</t>
  </si>
  <si>
    <t xml:space="preserve">   BY TRANSFER-SBILT19072021115006144796-Nn--</t>
  </si>
  <si>
    <t xml:space="preserve">   BY TRANSFER-SBILT23082021124443321091-H--</t>
  </si>
  <si>
    <t xml:space="preserve">   BY TRANSFER-SBILT23082021180516367643-Hh--</t>
  </si>
  <si>
    <t xml:space="preserve">   BY TRANSFER-SBILT30082021202838089291-Nn--</t>
  </si>
  <si>
    <t xml:space="preserve">   BY TRANSFER-SBILT18092021094450743332-Gg--</t>
  </si>
  <si>
    <t xml:space="preserve">   BY TRANSFER-SBILT19092021090851492065-Hh--</t>
  </si>
  <si>
    <t xml:space="preserve">   BY TRANSFER-SBILT20092021130311630857-Gg--</t>
  </si>
  <si>
    <t xml:space="preserve">   BY TRANSFER-SBILT14102021142340210830-Vv--</t>
  </si>
  <si>
    <t xml:space="preserve">   BY TRANSFER-SBILT20102021220717175939-Hh--</t>
  </si>
  <si>
    <t xml:space="preserve">   CSH DEP (CDM)-7299230515--</t>
  </si>
  <si>
    <t xml:space="preserve">   CSH DEP (CDM)-7229230515--</t>
  </si>
  <si>
    <t xml:space="preserve">   CSH DEP (CDM)-7266238545--</t>
  </si>
  <si>
    <t xml:space="preserve">   BY TRANSFER-UPI/CR/134383291198/SARATHKU/ESFB/8072480815/Payme--</t>
  </si>
  <si>
    <t>TRANSFER FROM 4693388162098</t>
  </si>
  <si>
    <t xml:space="preserve">   BY TRANSFER-UPI/CR/134322852469/SARATHKU/ESFB/8072480815/Payme--</t>
  </si>
  <si>
    <t>TRANSFER FROM 5099093162093</t>
  </si>
  <si>
    <t xml:space="preserve">   BY TRANSFER-INB IMPS135616172442/9629207761/XX4118/sarath--</t>
  </si>
  <si>
    <t xml:space="preserve">MAF000030514225          MAF000030514225          </t>
  </si>
  <si>
    <t xml:space="preserve">   BY TRANSFER-INB IMPS135616172467/9629207761/XX4118/sarath--</t>
  </si>
  <si>
    <t xml:space="preserve">MAB000930801377          MAB000930801377          </t>
  </si>
  <si>
    <t xml:space="preserve">   BY TRANSFER-INB IMPS200713339588/9629207761/XX4118/--</t>
  </si>
  <si>
    <t xml:space="preserve">MAB000938937136          MAB000938937136          </t>
  </si>
  <si>
    <t xml:space="preserve">   BY TRANSFER-RTGS UTR NO: DBSSR52022010901687043--NATARAJAN ARUMUGHAM</t>
  </si>
  <si>
    <t>TRANSFER FROM 3199856044300 / NATARAJAN ARUMUGHAM</t>
  </si>
  <si>
    <t xml:space="preserve">   BY TRANSFER-RTGS UTR NO: DBSSR52022011201693375--NATARAJAN ARUMUGHAM</t>
  </si>
  <si>
    <t>TRANSFER FROM 3199860044304 / NATARAJAN ARUMUGHAM</t>
  </si>
  <si>
    <t xml:space="preserve">   BY TRANSFER-INB Payment towards loan repayment--</t>
  </si>
  <si>
    <t>IT00JQQJM9               TRANSFER FROM 20272953533</t>
  </si>
  <si>
    <t>IT00JQULT6               TRANSFER FROM 20272953533</t>
  </si>
  <si>
    <t>BY TRANSFER INB Donation</t>
  </si>
  <si>
    <t>IT00KJQXP0 TRANSFER FROM 20272953533</t>
  </si>
  <si>
    <t>BY TRANSFER SBILT15032022083750462402-Bill Payment</t>
  </si>
  <si>
    <t>TRANSFER FROM 20272953533</t>
  </si>
  <si>
    <t>BY TRANSFER SBILT18032022103249922046-Bill Payment</t>
  </si>
  <si>
    <t>BY TRANSFER SBILT19032022172229180872-Loan repayment</t>
  </si>
  <si>
    <t xml:space="preserve">   BY TRANSFER-SBILT15042022152245441895-Rent--</t>
  </si>
  <si>
    <t xml:space="preserve">   BY TRANSFER-SBILT07052022095752770672-Gg--</t>
  </si>
  <si>
    <t xml:space="preserve">   BY TRANSFER-SBILT16052022194319061752-Loan repayment--</t>
  </si>
  <si>
    <t xml:space="preserve">   BY TRANSFER-SBILT04062022221412577916-Transfer to fa--</t>
  </si>
  <si>
    <t xml:space="preserve">   BY TRANSFER-SBILT07062022124331891790-Rent--</t>
  </si>
  <si>
    <t xml:space="preserve">   BY TRANSFER-SBILT07062022125652835043-Loan repayment--</t>
  </si>
  <si>
    <t xml:space="preserve">   BY TRANSFER-SBILT20062022222659873912-Gg--</t>
  </si>
  <si>
    <t xml:space="preserve">   BY TRANSFER-SBILT28062022123553319283-Hh--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</si>
</sst>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[$₹-4009]\ * #,##0.00_ ;_ [$₹-4009]\ * \-#,##0.00_ ;_ [$₹-4009]\ * &quot;-&quot;??_ ;_ @_ 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9C000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3B4863"/>
      <name val="Arial"/>
      <family val="2"/>
    </font>
    <font>
      <b/>
      <sz val="14"/>
      <color rgb="FF9C0006"/>
      <name val="Calibri"/>
      <family val="2"/>
      <scheme val="minor"/>
    </font>
    <font>
      <b/>
      <sz val="14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Adobe Heiti Std R"/>
      <family val="2"/>
      <charset val="128"/>
    </font>
    <font>
      <b/>
      <sz val="16"/>
      <name val="Calibri"/>
      <family val="2"/>
    </font>
    <font>
      <b/>
      <u/>
      <sz val="16"/>
      <name val="Calibri"/>
      <family val="2"/>
    </font>
    <font>
      <sz val="16"/>
      <color rgb="FF9C0006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44" fontId="1" fillId="0" borderId="0" applyFont="0" applyFill="0" applyBorder="0" applyAlignment="0" applyProtection="0"/>
  </cellStyleXfs>
  <cellXfs count="81">
    <xf numFmtId="0" fontId="0" fillId="0" borderId="0" xfId="0"/>
    <xf numFmtId="0" fontId="3" fillId="3" borderId="5" xfId="0" applyFont="1" applyFill="1" applyBorder="1" applyAlignment="1">
      <alignment horizontal="left" vertical="center"/>
    </xf>
    <xf numFmtId="1" fontId="3" fillId="3" borderId="5" xfId="1" applyNumberFormat="1" applyFont="1" applyFill="1" applyBorder="1" applyAlignment="1">
      <alignment horizontal="left" vertical="center"/>
    </xf>
    <xf numFmtId="1" fontId="3" fillId="3" borderId="5" xfId="0" applyNumberFormat="1" applyFont="1" applyFill="1" applyBorder="1" applyAlignment="1">
      <alignment horizontal="left" vertical="center"/>
    </xf>
    <xf numFmtId="1" fontId="3" fillId="3" borderId="5" xfId="1" quotePrefix="1" applyNumberFormat="1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 wrapText="1"/>
    </xf>
    <xf numFmtId="0" fontId="5" fillId="0" borderId="0" xfId="0" applyFont="1"/>
    <xf numFmtId="0" fontId="6" fillId="4" borderId="2" xfId="2" applyFont="1" applyFill="1" applyBorder="1" applyAlignment="1">
      <alignment horizontal="left" vertical="center" wrapText="1"/>
    </xf>
    <xf numFmtId="0" fontId="6" fillId="4" borderId="3" xfId="2" applyFont="1" applyFill="1" applyBorder="1" applyAlignment="1">
      <alignment horizontal="left" vertical="center" wrapText="1"/>
    </xf>
    <xf numFmtId="1" fontId="6" fillId="4" borderId="3" xfId="2" applyNumberFormat="1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0" fontId="7" fillId="0" borderId="4" xfId="0" applyFont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5" fillId="0" borderId="5" xfId="0" applyFont="1" applyBorder="1"/>
    <xf numFmtId="49" fontId="3" fillId="0" borderId="5" xfId="0" applyNumberFormat="1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1" fontId="3" fillId="3" borderId="7" xfId="1" applyNumberFormat="1" applyFont="1" applyFill="1" applyBorder="1" applyAlignment="1">
      <alignment horizontal="left" vertical="center"/>
    </xf>
    <xf numFmtId="1" fontId="3" fillId="3" borderId="7" xfId="0" applyNumberFormat="1" applyFont="1" applyFill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49" fontId="8" fillId="0" borderId="8" xfId="0" applyNumberFormat="1" applyFont="1" applyBorder="1" applyAlignment="1">
      <alignment horizontal="left" vertical="center"/>
    </xf>
    <xf numFmtId="0" fontId="8" fillId="6" borderId="8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left" vertical="center"/>
    </xf>
    <xf numFmtId="0" fontId="9" fillId="4" borderId="5" xfId="2" applyFont="1" applyFill="1" applyBorder="1" applyAlignment="1">
      <alignment horizontal="center" vertical="center" wrapText="1"/>
    </xf>
    <xf numFmtId="1" fontId="9" fillId="4" borderId="5" xfId="2" applyNumberFormat="1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left"/>
    </xf>
    <xf numFmtId="0" fontId="10" fillId="3" borderId="5" xfId="0" applyFont="1" applyFill="1" applyBorder="1" applyAlignment="1">
      <alignment horizontal="left" vertical="center"/>
    </xf>
    <xf numFmtId="1" fontId="10" fillId="3" borderId="5" xfId="1" applyNumberFormat="1" applyFont="1" applyFill="1" applyBorder="1" applyAlignment="1">
      <alignment horizontal="left" vertical="center"/>
    </xf>
    <xf numFmtId="1" fontId="10" fillId="3" borderId="5" xfId="0" applyNumberFormat="1" applyFont="1" applyFill="1" applyBorder="1" applyAlignment="1">
      <alignment horizontal="left" vertical="center"/>
    </xf>
    <xf numFmtId="0" fontId="10" fillId="3" borderId="5" xfId="0" applyFont="1" applyFill="1" applyBorder="1" applyAlignment="1">
      <alignment vertical="center"/>
    </xf>
    <xf numFmtId="0" fontId="10" fillId="3" borderId="5" xfId="0" applyFont="1" applyFill="1" applyBorder="1" applyAlignment="1">
      <alignment horizontal="left"/>
    </xf>
    <xf numFmtId="0" fontId="10" fillId="3" borderId="5" xfId="0" applyFont="1" applyFill="1" applyBorder="1" applyAlignment="1">
      <alignment horizontal="left" vertical="center" wrapText="1"/>
    </xf>
    <xf numFmtId="49" fontId="10" fillId="3" borderId="5" xfId="1" applyNumberFormat="1" applyFont="1" applyFill="1" applyBorder="1" applyAlignment="1">
      <alignment horizontal="left" vertical="center" wrapText="1"/>
    </xf>
    <xf numFmtId="49" fontId="10" fillId="3" borderId="5" xfId="1" applyNumberFormat="1" applyFont="1" applyFill="1" applyBorder="1" applyAlignment="1">
      <alignment horizontal="left" vertical="center"/>
    </xf>
    <xf numFmtId="0" fontId="10" fillId="3" borderId="5" xfId="0" applyFont="1" applyFill="1" applyBorder="1" applyAlignment="1">
      <alignment horizontal="center"/>
    </xf>
    <xf numFmtId="0" fontId="12" fillId="3" borderId="5" xfId="0" applyFont="1" applyFill="1" applyBorder="1"/>
    <xf numFmtId="0" fontId="12" fillId="3" borderId="5" xfId="0" applyFont="1" applyFill="1" applyBorder="1" applyAlignment="1">
      <alignment wrapText="1"/>
    </xf>
    <xf numFmtId="0" fontId="12" fillId="3" borderId="5" xfId="0" applyFont="1" applyFill="1" applyBorder="1" applyAlignment="1">
      <alignment horizontal="left" vertical="top" wrapText="1"/>
    </xf>
    <xf numFmtId="164" fontId="12" fillId="3" borderId="5" xfId="3" applyNumberFormat="1" applyFont="1" applyFill="1" applyBorder="1"/>
    <xf numFmtId="15" fontId="12" fillId="3" borderId="5" xfId="0" applyNumberFormat="1" applyFont="1" applyFill="1" applyBorder="1"/>
    <xf numFmtId="164" fontId="12" fillId="3" borderId="5" xfId="3" applyNumberFormat="1" applyFont="1" applyFill="1" applyBorder="1" applyAlignment="1">
      <alignment horizontal="left"/>
    </xf>
    <xf numFmtId="15" fontId="12" fillId="3" borderId="5" xfId="0" applyNumberFormat="1" applyFont="1" applyFill="1" applyBorder="1" applyAlignment="1">
      <alignment vertical="center"/>
    </xf>
    <xf numFmtId="0" fontId="12" fillId="3" borderId="11" xfId="0" applyFont="1" applyFill="1" applyBorder="1" applyAlignment="1">
      <alignment vertical="center" wrapText="1"/>
    </xf>
    <xf numFmtId="164" fontId="12" fillId="3" borderId="11" xfId="3" applyNumberFormat="1" applyFont="1" applyFill="1" applyBorder="1" applyAlignment="1">
      <alignment vertical="center" wrapText="1"/>
    </xf>
    <xf numFmtId="0" fontId="12" fillId="3" borderId="5" xfId="0" applyFont="1" applyFill="1" applyBorder="1" applyAlignment="1">
      <alignment vertical="center" wrapText="1"/>
    </xf>
    <xf numFmtId="164" fontId="12" fillId="3" borderId="5" xfId="3" applyNumberFormat="1" applyFont="1" applyFill="1" applyBorder="1" applyAlignment="1">
      <alignment vertical="center" wrapText="1"/>
    </xf>
    <xf numFmtId="164" fontId="0" fillId="0" borderId="0" xfId="0" applyNumberFormat="1"/>
    <xf numFmtId="0" fontId="13" fillId="3" borderId="5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horizontal="left" vertical="center" wrapText="1"/>
    </xf>
    <xf numFmtId="1" fontId="13" fillId="3" borderId="5" xfId="1" applyNumberFormat="1" applyFont="1" applyFill="1" applyBorder="1" applyAlignment="1">
      <alignment horizontal="left" vertical="center" wrapText="1"/>
    </xf>
    <xf numFmtId="1" fontId="13" fillId="3" borderId="5" xfId="0" applyNumberFormat="1" applyFont="1" applyFill="1" applyBorder="1" applyAlignment="1">
      <alignment horizontal="left" vertical="center" wrapText="1"/>
    </xf>
    <xf numFmtId="0" fontId="15" fillId="3" borderId="2" xfId="2" applyFont="1" applyFill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0" fontId="13" fillId="3" borderId="1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horizontal="center" vertical="center" wrapText="1"/>
    </xf>
    <xf numFmtId="1" fontId="13" fillId="3" borderId="5" xfId="1" quotePrefix="1" applyNumberFormat="1" applyFont="1" applyFill="1" applyBorder="1" applyAlignment="1">
      <alignment horizontal="left" vertical="center" wrapText="1"/>
    </xf>
    <xf numFmtId="0" fontId="15" fillId="3" borderId="12" xfId="2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vertical="center" wrapText="1"/>
    </xf>
    <xf numFmtId="0" fontId="16" fillId="3" borderId="9" xfId="0" applyFont="1" applyFill="1" applyBorder="1" applyAlignment="1">
      <alignment vertical="center" wrapText="1"/>
    </xf>
    <xf numFmtId="0" fontId="15" fillId="3" borderId="5" xfId="2" applyFont="1" applyFill="1" applyBorder="1" applyAlignment="1">
      <alignment horizontal="center" vertical="center" wrapText="1"/>
    </xf>
    <xf numFmtId="1" fontId="15" fillId="3" borderId="5" xfId="2" applyNumberFormat="1" applyFont="1" applyFill="1" applyBorder="1" applyAlignment="1">
      <alignment horizontal="left" vertical="center" wrapText="1"/>
    </xf>
    <xf numFmtId="0" fontId="15" fillId="3" borderId="5" xfId="2" applyFont="1" applyFill="1" applyBorder="1" applyAlignment="1">
      <alignment horizontal="left" vertical="center" wrapText="1"/>
    </xf>
    <xf numFmtId="0" fontId="15" fillId="3" borderId="4" xfId="2" applyFont="1" applyFill="1" applyBorder="1" applyAlignment="1">
      <alignment horizontal="center" vertical="center" wrapText="1"/>
    </xf>
    <xf numFmtId="0" fontId="15" fillId="3" borderId="13" xfId="2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vertical="center" wrapText="1"/>
    </xf>
    <xf numFmtId="0" fontId="13" fillId="3" borderId="13" xfId="0" applyFont="1" applyFill="1" applyBorder="1" applyAlignment="1">
      <alignment horizontal="left" vertical="center" wrapText="1"/>
    </xf>
    <xf numFmtId="0" fontId="13" fillId="3" borderId="6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left" vertical="center" wrapText="1"/>
    </xf>
    <xf numFmtId="49" fontId="13" fillId="3" borderId="7" xfId="1" applyNumberFormat="1" applyFont="1" applyFill="1" applyBorder="1" applyAlignment="1">
      <alignment horizontal="left" vertical="center" wrapText="1"/>
    </xf>
    <xf numFmtId="1" fontId="13" fillId="3" borderId="7" xfId="0" applyNumberFormat="1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</cellXfs>
  <cellStyles count="4">
    <cellStyle name="Bad" xfId="2" builtinId="27"/>
    <cellStyle name="Comma" xfId="1" builtinId="3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LL%20GODAM%20LIST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SARATH"/>
      <sheetName val="NASAR"/>
      <sheetName val="AJITH"/>
      <sheetName val="MY"/>
    </sheetNames>
    <sheetDataSet>
      <sheetData sheetId="0"/>
      <sheetData sheetId="1"/>
      <sheetData sheetId="2"/>
      <sheetData sheetId="3"/>
      <sheetData sheetId="4">
        <row r="3">
          <cell r="A3">
            <v>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0"/>
  <sheetViews>
    <sheetView tabSelected="1" topLeftCell="D16" zoomScaleNormal="100" workbookViewId="0">
      <selection activeCell="N26" sqref="N26"/>
    </sheetView>
  </sheetViews>
  <sheetFormatPr defaultColWidth="18.77734375" defaultRowHeight="24.6" customHeight="1"/>
  <cols>
    <col min="1" max="1" width="10" style="58" customWidth="1"/>
    <col min="2" max="2" width="26.5546875" style="58" customWidth="1"/>
    <col min="3" max="3" width="34.77734375" style="58" customWidth="1"/>
    <col min="4" max="4" width="13.33203125" style="58" customWidth="1"/>
    <col min="5" max="5" width="36.109375" style="58" customWidth="1"/>
    <col min="6" max="6" width="26.5546875" style="58" bestFit="1" customWidth="1"/>
    <col min="7" max="7" width="16" style="58" customWidth="1"/>
    <col min="8" max="8" width="21.77734375" style="58" bestFit="1" customWidth="1"/>
    <col min="9" max="9" width="13" style="58" customWidth="1"/>
    <col min="10" max="10" width="18" style="58" customWidth="1"/>
    <col min="11" max="11" width="19.5546875" style="58" customWidth="1"/>
    <col min="12" max="16384" width="18.77734375" style="58"/>
  </cols>
  <sheetData>
    <row r="1" spans="1:11" ht="16.8" customHeight="1" thickBot="1">
      <c r="A1" s="59"/>
      <c r="B1" s="59"/>
      <c r="C1" s="78" t="s">
        <v>0</v>
      </c>
      <c r="D1" s="79"/>
      <c r="E1" s="79"/>
      <c r="F1" s="79"/>
      <c r="G1" s="79"/>
      <c r="H1" s="79"/>
      <c r="I1" s="79"/>
      <c r="J1" s="79"/>
      <c r="K1" s="80"/>
    </row>
    <row r="2" spans="1:11" ht="34.200000000000003" customHeight="1">
      <c r="A2" s="57" t="s">
        <v>1</v>
      </c>
      <c r="B2" s="62" t="s">
        <v>2</v>
      </c>
      <c r="C2" s="68" t="s">
        <v>3</v>
      </c>
      <c r="D2" s="65" t="s">
        <v>4</v>
      </c>
      <c r="E2" s="65" t="s">
        <v>5</v>
      </c>
      <c r="F2" s="66" t="s">
        <v>6</v>
      </c>
      <c r="G2" s="67" t="s">
        <v>7</v>
      </c>
      <c r="H2" s="66" t="s">
        <v>8</v>
      </c>
      <c r="I2" s="65" t="s">
        <v>9</v>
      </c>
      <c r="J2" s="65" t="s">
        <v>10</v>
      </c>
      <c r="K2" s="69" t="s">
        <v>11</v>
      </c>
    </row>
    <row r="3" spans="1:11" ht="24.6" customHeight="1">
      <c r="A3" s="60"/>
      <c r="B3" s="63"/>
      <c r="C3" s="70"/>
      <c r="D3" s="54"/>
      <c r="E3" s="54"/>
      <c r="F3" s="55"/>
      <c r="G3" s="54"/>
      <c r="H3" s="56"/>
      <c r="I3" s="53"/>
      <c r="J3" s="54"/>
      <c r="K3" s="71"/>
    </row>
    <row r="4" spans="1:11" ht="24.6" customHeight="1">
      <c r="A4" s="60">
        <v>1</v>
      </c>
      <c r="B4" s="63" t="s">
        <v>12</v>
      </c>
      <c r="C4" s="70" t="s">
        <v>13</v>
      </c>
      <c r="D4" s="54" t="s">
        <v>14</v>
      </c>
      <c r="E4" s="54" t="s">
        <v>15</v>
      </c>
      <c r="F4" s="55">
        <v>108020025441158</v>
      </c>
      <c r="G4" s="54">
        <v>8832011</v>
      </c>
      <c r="H4" s="56">
        <v>710657709132</v>
      </c>
      <c r="I4" s="53" t="s">
        <v>16</v>
      </c>
      <c r="J4" s="54" t="s">
        <v>17</v>
      </c>
      <c r="K4" s="71" t="s">
        <v>18</v>
      </c>
    </row>
    <row r="5" spans="1:11" ht="24.6" customHeight="1">
      <c r="A5" s="60">
        <f t="shared" ref="A5:A39" si="0">A4+1</f>
        <v>2</v>
      </c>
      <c r="B5" s="63" t="s">
        <v>19</v>
      </c>
      <c r="C5" s="70" t="s">
        <v>20</v>
      </c>
      <c r="D5" s="54" t="s">
        <v>14</v>
      </c>
      <c r="E5" s="54" t="s">
        <v>21</v>
      </c>
      <c r="F5" s="55">
        <v>108020052741156</v>
      </c>
      <c r="G5" s="54">
        <v>5394031</v>
      </c>
      <c r="H5" s="56">
        <v>710644646877</v>
      </c>
      <c r="I5" s="53" t="s">
        <v>16</v>
      </c>
      <c r="J5" s="54" t="s">
        <v>17</v>
      </c>
      <c r="K5" s="71" t="s">
        <v>18</v>
      </c>
    </row>
    <row r="6" spans="1:11" ht="24.6" customHeight="1">
      <c r="A6" s="60">
        <f t="shared" si="0"/>
        <v>3</v>
      </c>
      <c r="B6" s="63" t="s">
        <v>22</v>
      </c>
      <c r="C6" s="70" t="s">
        <v>23</v>
      </c>
      <c r="D6" s="54" t="s">
        <v>14</v>
      </c>
      <c r="E6" s="54" t="s">
        <v>24</v>
      </c>
      <c r="F6" s="55">
        <v>108020025441107</v>
      </c>
      <c r="G6" s="54">
        <v>5681271</v>
      </c>
      <c r="H6" s="56">
        <v>710693244487</v>
      </c>
      <c r="I6" s="53" t="s">
        <v>16</v>
      </c>
      <c r="J6" s="54" t="s">
        <v>17</v>
      </c>
      <c r="K6" s="71" t="s">
        <v>18</v>
      </c>
    </row>
    <row r="7" spans="1:11" ht="24.6" customHeight="1">
      <c r="A7" s="60">
        <f t="shared" si="0"/>
        <v>4</v>
      </c>
      <c r="B7" s="64" t="s">
        <v>25</v>
      </c>
      <c r="C7" s="70" t="s">
        <v>26</v>
      </c>
      <c r="D7" s="54" t="s">
        <v>14</v>
      </c>
      <c r="E7" s="54" t="s">
        <v>27</v>
      </c>
      <c r="F7" s="61">
        <v>108020052745729</v>
      </c>
      <c r="G7" s="54">
        <v>7979461</v>
      </c>
      <c r="H7" s="56">
        <v>710645788256</v>
      </c>
      <c r="I7" s="53" t="s">
        <v>16</v>
      </c>
      <c r="J7" s="54" t="s">
        <v>17</v>
      </c>
      <c r="K7" s="71" t="s">
        <v>18</v>
      </c>
    </row>
    <row r="8" spans="1:11" ht="24.6" customHeight="1">
      <c r="A8" s="60">
        <f t="shared" si="0"/>
        <v>5</v>
      </c>
      <c r="B8" s="64" t="s">
        <v>28</v>
      </c>
      <c r="C8" s="70" t="s">
        <v>29</v>
      </c>
      <c r="D8" s="54" t="s">
        <v>14</v>
      </c>
      <c r="E8" s="54">
        <v>8667250749</v>
      </c>
      <c r="F8" s="61">
        <v>108020052745728</v>
      </c>
      <c r="G8" s="54">
        <v>8322931</v>
      </c>
      <c r="H8" s="56">
        <v>710646155998</v>
      </c>
      <c r="I8" s="53" t="s">
        <v>16</v>
      </c>
      <c r="J8" s="54" t="s">
        <v>17</v>
      </c>
      <c r="K8" s="71" t="s">
        <v>18</v>
      </c>
    </row>
    <row r="9" spans="1:11" ht="24.6" customHeight="1">
      <c r="A9" s="60">
        <f t="shared" si="0"/>
        <v>6</v>
      </c>
      <c r="B9" s="64" t="s">
        <v>30</v>
      </c>
      <c r="C9" s="70" t="s">
        <v>31</v>
      </c>
      <c r="D9" s="54" t="s">
        <v>32</v>
      </c>
      <c r="E9" s="54">
        <v>7044794794</v>
      </c>
      <c r="F9" s="55">
        <v>2020170066291</v>
      </c>
      <c r="G9" s="54">
        <v>9006742</v>
      </c>
      <c r="H9" s="56">
        <v>710647284514</v>
      </c>
      <c r="I9" s="53" t="s">
        <v>16</v>
      </c>
      <c r="J9" s="54" t="s">
        <v>17</v>
      </c>
      <c r="K9" s="71" t="s">
        <v>18</v>
      </c>
    </row>
    <row r="10" spans="1:11" ht="24.6" customHeight="1">
      <c r="A10" s="60">
        <f t="shared" si="0"/>
        <v>7</v>
      </c>
      <c r="B10" s="63" t="s">
        <v>33</v>
      </c>
      <c r="C10" s="70" t="s">
        <v>20</v>
      </c>
      <c r="D10" s="54" t="s">
        <v>32</v>
      </c>
      <c r="E10" s="54" t="s">
        <v>34</v>
      </c>
      <c r="F10" s="55">
        <v>108020025441152</v>
      </c>
      <c r="G10" s="54">
        <v>5620821</v>
      </c>
      <c r="H10" s="56">
        <v>710648378009</v>
      </c>
      <c r="I10" s="53" t="s">
        <v>16</v>
      </c>
      <c r="J10" s="54" t="s">
        <v>17</v>
      </c>
      <c r="K10" s="71" t="s">
        <v>18</v>
      </c>
    </row>
    <row r="11" spans="1:11" ht="24.6" customHeight="1">
      <c r="A11" s="60">
        <f t="shared" si="0"/>
        <v>8</v>
      </c>
      <c r="B11" s="64" t="s">
        <v>35</v>
      </c>
      <c r="C11" s="70" t="s">
        <v>36</v>
      </c>
      <c r="D11" s="54" t="s">
        <v>32</v>
      </c>
      <c r="E11" s="54">
        <v>9361575801</v>
      </c>
      <c r="F11" s="55">
        <v>208020052745730</v>
      </c>
      <c r="G11" s="54">
        <v>3927492</v>
      </c>
      <c r="H11" s="56">
        <v>710649028355</v>
      </c>
      <c r="I11" s="53" t="s">
        <v>16</v>
      </c>
      <c r="J11" s="54" t="s">
        <v>17</v>
      </c>
      <c r="K11" s="71" t="s">
        <v>18</v>
      </c>
    </row>
    <row r="12" spans="1:11" ht="24.6" customHeight="1">
      <c r="A12" s="60">
        <f t="shared" si="0"/>
        <v>9</v>
      </c>
      <c r="B12" s="63" t="s">
        <v>37</v>
      </c>
      <c r="C12" s="70" t="s">
        <v>26</v>
      </c>
      <c r="D12" s="54" t="s">
        <v>32</v>
      </c>
      <c r="E12" s="54">
        <v>8760666261</v>
      </c>
      <c r="F12" s="55">
        <v>208020025440683</v>
      </c>
      <c r="G12" s="54">
        <v>5477902</v>
      </c>
      <c r="H12" s="56">
        <v>710649034456</v>
      </c>
      <c r="I12" s="53" t="s">
        <v>16</v>
      </c>
      <c r="J12" s="54" t="s">
        <v>17</v>
      </c>
      <c r="K12" s="71" t="s">
        <v>18</v>
      </c>
    </row>
    <row r="13" spans="1:11" ht="24.6" customHeight="1">
      <c r="A13" s="60">
        <f t="shared" si="0"/>
        <v>10</v>
      </c>
      <c r="B13" s="63" t="s">
        <v>38</v>
      </c>
      <c r="C13" s="70" t="s">
        <v>39</v>
      </c>
      <c r="D13" s="54" t="s">
        <v>32</v>
      </c>
      <c r="E13" s="54">
        <v>8072298381</v>
      </c>
      <c r="F13" s="55">
        <v>208020052740675</v>
      </c>
      <c r="G13" s="54">
        <v>2661452</v>
      </c>
      <c r="H13" s="56">
        <v>710650613817</v>
      </c>
      <c r="I13" s="53" t="s">
        <v>40</v>
      </c>
      <c r="J13" s="54" t="s">
        <v>17</v>
      </c>
      <c r="K13" s="71" t="s">
        <v>18</v>
      </c>
    </row>
    <row r="14" spans="1:11" ht="24.6" customHeight="1">
      <c r="A14" s="60">
        <f t="shared" si="0"/>
        <v>11</v>
      </c>
      <c r="B14" s="64" t="s">
        <v>41</v>
      </c>
      <c r="C14" s="70" t="s">
        <v>42</v>
      </c>
      <c r="D14" s="54" t="s">
        <v>32</v>
      </c>
      <c r="E14" s="54">
        <v>9487342969</v>
      </c>
      <c r="F14" s="55">
        <v>208020025441586</v>
      </c>
      <c r="G14" s="54">
        <v>7306282</v>
      </c>
      <c r="H14" s="56">
        <v>710651899266</v>
      </c>
      <c r="I14" s="53" t="s">
        <v>16</v>
      </c>
      <c r="J14" s="54" t="s">
        <v>17</v>
      </c>
      <c r="K14" s="71" t="s">
        <v>18</v>
      </c>
    </row>
    <row r="15" spans="1:11" ht="24.6" customHeight="1">
      <c r="A15" s="60">
        <f t="shared" si="0"/>
        <v>12</v>
      </c>
      <c r="B15" s="63" t="s">
        <v>43</v>
      </c>
      <c r="C15" s="70" t="s">
        <v>44</v>
      </c>
      <c r="D15" s="54" t="s">
        <v>32</v>
      </c>
      <c r="E15" s="54">
        <v>9524691400</v>
      </c>
      <c r="F15" s="55">
        <v>208020052748713</v>
      </c>
      <c r="G15" s="54">
        <v>2254462</v>
      </c>
      <c r="H15" s="56">
        <v>71065113425</v>
      </c>
      <c r="I15" s="53" t="s">
        <v>40</v>
      </c>
      <c r="J15" s="54" t="s">
        <v>17</v>
      </c>
      <c r="K15" s="71" t="s">
        <v>18</v>
      </c>
    </row>
    <row r="16" spans="1:11" ht="34.200000000000003" customHeight="1">
      <c r="A16" s="60">
        <f t="shared" si="0"/>
        <v>13</v>
      </c>
      <c r="B16" s="63" t="s">
        <v>45</v>
      </c>
      <c r="C16" s="70" t="s">
        <v>46</v>
      </c>
      <c r="D16" s="54" t="s">
        <v>32</v>
      </c>
      <c r="E16" s="54">
        <v>8122709927</v>
      </c>
      <c r="F16" s="55">
        <v>108020025448726</v>
      </c>
      <c r="G16" s="54">
        <v>2930571</v>
      </c>
      <c r="H16" s="56">
        <v>710653937465</v>
      </c>
      <c r="I16" s="53" t="s">
        <v>16</v>
      </c>
      <c r="J16" s="54" t="s">
        <v>17</v>
      </c>
      <c r="K16" s="71" t="s">
        <v>18</v>
      </c>
    </row>
    <row r="17" spans="1:11" ht="24.6" customHeight="1">
      <c r="A17" s="60">
        <f t="shared" si="0"/>
        <v>14</v>
      </c>
      <c r="B17" s="63" t="s">
        <v>47</v>
      </c>
      <c r="C17" s="70" t="s">
        <v>48</v>
      </c>
      <c r="D17" s="54" t="s">
        <v>32</v>
      </c>
      <c r="E17" s="54">
        <v>8903875523</v>
      </c>
      <c r="F17" s="55">
        <v>208020025448732</v>
      </c>
      <c r="G17" s="54">
        <v>2012672</v>
      </c>
      <c r="H17" s="56">
        <v>71065734628</v>
      </c>
      <c r="I17" s="53" t="s">
        <v>16</v>
      </c>
      <c r="J17" s="54" t="s">
        <v>17</v>
      </c>
      <c r="K17" s="71" t="s">
        <v>18</v>
      </c>
    </row>
    <row r="18" spans="1:11" ht="37.799999999999997" customHeight="1">
      <c r="A18" s="60">
        <f t="shared" si="0"/>
        <v>15</v>
      </c>
      <c r="B18" s="63" t="s">
        <v>49</v>
      </c>
      <c r="C18" s="70" t="s">
        <v>50</v>
      </c>
      <c r="D18" s="54" t="s">
        <v>32</v>
      </c>
      <c r="E18" s="54">
        <v>8056981945</v>
      </c>
      <c r="F18" s="55">
        <v>208020027370434</v>
      </c>
      <c r="G18" s="54">
        <v>3976802</v>
      </c>
      <c r="H18" s="56">
        <v>710656234767</v>
      </c>
      <c r="I18" s="53" t="s">
        <v>16</v>
      </c>
      <c r="J18" s="54" t="s">
        <v>17</v>
      </c>
      <c r="K18" s="71" t="s">
        <v>17</v>
      </c>
    </row>
    <row r="19" spans="1:11" ht="24.6" customHeight="1">
      <c r="A19" s="60">
        <f t="shared" si="0"/>
        <v>16</v>
      </c>
      <c r="B19" s="63" t="s">
        <v>51</v>
      </c>
      <c r="C19" s="70" t="s">
        <v>52</v>
      </c>
      <c r="D19" s="54" t="s">
        <v>14</v>
      </c>
      <c r="E19" s="54">
        <v>8838561830</v>
      </c>
      <c r="F19" s="55">
        <v>108020027370438</v>
      </c>
      <c r="G19" s="54">
        <v>8533391</v>
      </c>
      <c r="H19" s="56">
        <v>710657113255</v>
      </c>
      <c r="I19" s="53" t="s">
        <v>16</v>
      </c>
      <c r="J19" s="54" t="s">
        <v>17</v>
      </c>
      <c r="K19" s="71" t="s">
        <v>17</v>
      </c>
    </row>
    <row r="20" spans="1:11" ht="24.6" customHeight="1">
      <c r="A20" s="60">
        <f t="shared" si="0"/>
        <v>17</v>
      </c>
      <c r="B20" s="63" t="s">
        <v>53</v>
      </c>
      <c r="C20" s="70" t="s">
        <v>54</v>
      </c>
      <c r="D20" s="54" t="s">
        <v>32</v>
      </c>
      <c r="E20" s="54">
        <v>7397701642</v>
      </c>
      <c r="F20" s="55">
        <v>108020028659699</v>
      </c>
      <c r="G20" s="54">
        <v>3535791</v>
      </c>
      <c r="H20" s="56">
        <v>710656385217</v>
      </c>
      <c r="I20" s="53" t="s">
        <v>16</v>
      </c>
      <c r="J20" s="54" t="s">
        <v>17</v>
      </c>
      <c r="K20" s="71" t="s">
        <v>55</v>
      </c>
    </row>
    <row r="21" spans="1:11" ht="24.6" customHeight="1">
      <c r="A21" s="60">
        <f t="shared" si="0"/>
        <v>18</v>
      </c>
      <c r="B21" s="63" t="s">
        <v>56</v>
      </c>
      <c r="C21" s="70" t="s">
        <v>57</v>
      </c>
      <c r="D21" s="54" t="s">
        <v>32</v>
      </c>
      <c r="E21" s="54" t="s">
        <v>58</v>
      </c>
      <c r="F21" s="55">
        <v>208020028659954</v>
      </c>
      <c r="G21" s="54">
        <v>9254872</v>
      </c>
      <c r="H21" s="56">
        <v>710655414566</v>
      </c>
      <c r="I21" s="53" t="s">
        <v>16</v>
      </c>
      <c r="J21" s="54" t="s">
        <v>17</v>
      </c>
      <c r="K21" s="71" t="s">
        <v>55</v>
      </c>
    </row>
    <row r="22" spans="1:11" ht="24.6" customHeight="1">
      <c r="A22" s="60">
        <f t="shared" si="0"/>
        <v>19</v>
      </c>
      <c r="B22" s="63" t="s">
        <v>59</v>
      </c>
      <c r="C22" s="70" t="s">
        <v>60</v>
      </c>
      <c r="D22" s="54" t="s">
        <v>32</v>
      </c>
      <c r="E22" s="54">
        <v>9629690021</v>
      </c>
      <c r="F22" s="55">
        <v>208020027398284</v>
      </c>
      <c r="G22" s="54">
        <v>2633692</v>
      </c>
      <c r="H22" s="56">
        <v>780622909189</v>
      </c>
      <c r="I22" s="53" t="s">
        <v>16</v>
      </c>
      <c r="J22" s="54" t="s">
        <v>17</v>
      </c>
      <c r="K22" s="71" t="s">
        <v>55</v>
      </c>
    </row>
    <row r="23" spans="1:11" ht="24.6" customHeight="1">
      <c r="A23" s="60">
        <f t="shared" si="0"/>
        <v>20</v>
      </c>
      <c r="B23" s="63" t="s">
        <v>61</v>
      </c>
      <c r="C23" s="70" t="s">
        <v>62</v>
      </c>
      <c r="D23" s="54" t="s">
        <v>32</v>
      </c>
      <c r="E23" s="54">
        <v>7200007177</v>
      </c>
      <c r="F23" s="55">
        <v>208020027396513</v>
      </c>
      <c r="G23" s="54">
        <v>7245012</v>
      </c>
      <c r="H23" s="56">
        <v>780622375544</v>
      </c>
      <c r="I23" s="53" t="s">
        <v>16</v>
      </c>
      <c r="J23" s="54" t="s">
        <v>17</v>
      </c>
      <c r="K23" s="71" t="s">
        <v>17</v>
      </c>
    </row>
    <row r="24" spans="1:11" ht="24.6" customHeight="1">
      <c r="A24" s="60">
        <f t="shared" si="0"/>
        <v>21</v>
      </c>
      <c r="B24" s="63" t="s">
        <v>63</v>
      </c>
      <c r="C24" s="70" t="s">
        <v>64</v>
      </c>
      <c r="D24" s="54" t="s">
        <v>32</v>
      </c>
      <c r="E24" s="54">
        <v>8940335663</v>
      </c>
      <c r="F24" s="55">
        <v>108020025441107</v>
      </c>
      <c r="G24" s="54">
        <v>5681271</v>
      </c>
      <c r="H24" s="56">
        <v>710644636867</v>
      </c>
      <c r="I24" s="53" t="s">
        <v>16</v>
      </c>
      <c r="J24" s="54" t="s">
        <v>17</v>
      </c>
      <c r="K24" s="71" t="s">
        <v>17</v>
      </c>
    </row>
    <row r="25" spans="1:11" ht="24.6" customHeight="1">
      <c r="A25" s="60">
        <f t="shared" si="0"/>
        <v>22</v>
      </c>
      <c r="B25" s="63" t="s">
        <v>65</v>
      </c>
      <c r="C25" s="70" t="s">
        <v>66</v>
      </c>
      <c r="D25" s="54" t="s">
        <v>32</v>
      </c>
      <c r="E25" s="54">
        <v>7449076990</v>
      </c>
      <c r="F25" s="55">
        <v>208020027396518</v>
      </c>
      <c r="G25" s="54">
        <v>7775292</v>
      </c>
      <c r="H25" s="56">
        <v>780622950120</v>
      </c>
      <c r="I25" s="53" t="s">
        <v>16</v>
      </c>
      <c r="J25" s="54" t="s">
        <v>17</v>
      </c>
      <c r="K25" s="71" t="s">
        <v>17</v>
      </c>
    </row>
    <row r="26" spans="1:11" ht="24.6" customHeight="1">
      <c r="A26" s="60">
        <f t="shared" si="0"/>
        <v>23</v>
      </c>
      <c r="B26" s="63" t="s">
        <v>67</v>
      </c>
      <c r="C26" s="70" t="s">
        <v>68</v>
      </c>
      <c r="D26" s="54" t="s">
        <v>14</v>
      </c>
      <c r="E26" s="54">
        <v>7904412742</v>
      </c>
      <c r="F26" s="55">
        <v>1080200254100890</v>
      </c>
      <c r="G26" s="54">
        <v>8857611</v>
      </c>
      <c r="H26" s="56">
        <v>780622633725</v>
      </c>
      <c r="I26" s="53" t="s">
        <v>16</v>
      </c>
      <c r="J26" s="54" t="s">
        <v>17</v>
      </c>
      <c r="K26" s="71" t="s">
        <v>18</v>
      </c>
    </row>
    <row r="27" spans="1:11" ht="24.6" customHeight="1">
      <c r="A27" s="60">
        <f t="shared" si="0"/>
        <v>24</v>
      </c>
      <c r="B27" s="63" t="s">
        <v>69</v>
      </c>
      <c r="C27" s="70" t="s">
        <v>70</v>
      </c>
      <c r="D27" s="54" t="s">
        <v>14</v>
      </c>
      <c r="E27" s="54">
        <v>9003929230</v>
      </c>
      <c r="F27" s="55">
        <v>108020027396519</v>
      </c>
      <c r="G27" s="54">
        <v>8872791</v>
      </c>
      <c r="H27" s="56">
        <v>7806224382226</v>
      </c>
      <c r="I27" s="53" t="s">
        <v>16</v>
      </c>
      <c r="J27" s="54" t="s">
        <v>17</v>
      </c>
      <c r="K27" s="71" t="s">
        <v>17</v>
      </c>
    </row>
    <row r="28" spans="1:11" ht="24.6" customHeight="1">
      <c r="A28" s="60">
        <f t="shared" si="0"/>
        <v>25</v>
      </c>
      <c r="B28" s="63" t="s">
        <v>71</v>
      </c>
      <c r="C28" s="70" t="s">
        <v>72</v>
      </c>
      <c r="D28" s="54" t="s">
        <v>32</v>
      </c>
      <c r="E28" s="54">
        <v>7397647215</v>
      </c>
      <c r="F28" s="55">
        <v>2080200254100900</v>
      </c>
      <c r="G28" s="54">
        <v>3996862</v>
      </c>
      <c r="H28" s="56">
        <v>780622775126</v>
      </c>
      <c r="I28" s="53" t="s">
        <v>16</v>
      </c>
      <c r="J28" s="54" t="s">
        <v>17</v>
      </c>
      <c r="K28" s="71" t="s">
        <v>17</v>
      </c>
    </row>
    <row r="29" spans="1:11" ht="24.6" customHeight="1">
      <c r="A29" s="60">
        <f t="shared" si="0"/>
        <v>26</v>
      </c>
      <c r="B29" s="63" t="s">
        <v>73</v>
      </c>
      <c r="C29" s="70" t="s">
        <v>74</v>
      </c>
      <c r="D29" s="54" t="s">
        <v>32</v>
      </c>
      <c r="E29" s="54">
        <v>9345120213</v>
      </c>
      <c r="F29" s="55">
        <v>208020025440735</v>
      </c>
      <c r="G29" s="54">
        <v>4471282</v>
      </c>
      <c r="H29" s="56">
        <v>710652300948</v>
      </c>
      <c r="I29" s="53" t="s">
        <v>16</v>
      </c>
      <c r="J29" s="54" t="s">
        <v>17</v>
      </c>
      <c r="K29" s="71" t="s">
        <v>17</v>
      </c>
    </row>
    <row r="30" spans="1:11" ht="24.6" customHeight="1">
      <c r="A30" s="60">
        <f t="shared" si="0"/>
        <v>27</v>
      </c>
      <c r="B30" s="63" t="s">
        <v>75</v>
      </c>
      <c r="C30" s="70" t="s">
        <v>76</v>
      </c>
      <c r="D30" s="54" t="s">
        <v>32</v>
      </c>
      <c r="E30" s="54">
        <v>9751098179</v>
      </c>
      <c r="F30" s="55">
        <v>208020025448728</v>
      </c>
      <c r="G30" s="54">
        <v>6615472</v>
      </c>
      <c r="H30" s="56">
        <v>710654954049</v>
      </c>
      <c r="I30" s="53" t="s">
        <v>16</v>
      </c>
      <c r="J30" s="54" t="s">
        <v>17</v>
      </c>
      <c r="K30" s="71" t="s">
        <v>17</v>
      </c>
    </row>
    <row r="31" spans="1:11" ht="24.6" customHeight="1">
      <c r="A31" s="60">
        <f t="shared" si="0"/>
        <v>28</v>
      </c>
      <c r="B31" s="63" t="s">
        <v>77</v>
      </c>
      <c r="C31" s="70" t="s">
        <v>78</v>
      </c>
      <c r="D31" s="54" t="s">
        <v>32</v>
      </c>
      <c r="E31" s="54">
        <v>9952537427</v>
      </c>
      <c r="F31" s="55">
        <v>2080200527100900</v>
      </c>
      <c r="G31" s="54">
        <v>3848542</v>
      </c>
      <c r="H31" s="56">
        <v>780622836912</v>
      </c>
      <c r="I31" s="53" t="s">
        <v>40</v>
      </c>
      <c r="J31" s="54" t="s">
        <v>17</v>
      </c>
      <c r="K31" s="71" t="s">
        <v>17</v>
      </c>
    </row>
    <row r="32" spans="1:11" ht="24.6" customHeight="1">
      <c r="A32" s="60">
        <f t="shared" si="0"/>
        <v>29</v>
      </c>
      <c r="B32" s="63" t="s">
        <v>79</v>
      </c>
      <c r="C32" s="70" t="s">
        <v>80</v>
      </c>
      <c r="D32" s="54" t="s">
        <v>32</v>
      </c>
      <c r="E32" s="54">
        <v>9940174164</v>
      </c>
      <c r="F32" s="55">
        <v>208020025441576</v>
      </c>
      <c r="G32" s="54">
        <v>3565022</v>
      </c>
      <c r="H32" s="56">
        <v>710646881691</v>
      </c>
      <c r="I32" s="53" t="s">
        <v>16</v>
      </c>
      <c r="J32" s="54" t="s">
        <v>17</v>
      </c>
      <c r="K32" s="71" t="s">
        <v>18</v>
      </c>
    </row>
    <row r="33" spans="1:11" ht="24.6" customHeight="1">
      <c r="A33" s="60">
        <f t="shared" si="0"/>
        <v>30</v>
      </c>
      <c r="B33" s="63" t="s">
        <v>81</v>
      </c>
      <c r="C33" s="70" t="s">
        <v>82</v>
      </c>
      <c r="D33" s="54" t="s">
        <v>32</v>
      </c>
      <c r="E33" s="54">
        <v>9943323860</v>
      </c>
      <c r="F33" s="55">
        <v>208020027370446</v>
      </c>
      <c r="G33" s="54">
        <v>138282</v>
      </c>
      <c r="H33" s="56"/>
      <c r="I33" s="53" t="s">
        <v>16</v>
      </c>
      <c r="J33" s="54" t="s">
        <v>17</v>
      </c>
      <c r="K33" s="71" t="s">
        <v>17</v>
      </c>
    </row>
    <row r="34" spans="1:11" ht="24.6" customHeight="1">
      <c r="A34" s="60">
        <f t="shared" si="0"/>
        <v>31</v>
      </c>
      <c r="B34" s="64" t="s">
        <v>83</v>
      </c>
      <c r="C34" s="70" t="s">
        <v>84</v>
      </c>
      <c r="D34" s="54" t="s">
        <v>32</v>
      </c>
      <c r="E34" s="54" t="s">
        <v>85</v>
      </c>
      <c r="F34" s="55">
        <v>208020025441132</v>
      </c>
      <c r="G34" s="54">
        <v>1787892</v>
      </c>
      <c r="H34" s="56">
        <v>710652975378</v>
      </c>
      <c r="I34" s="53" t="s">
        <v>16</v>
      </c>
      <c r="J34" s="54" t="s">
        <v>17</v>
      </c>
      <c r="K34" s="71" t="s">
        <v>18</v>
      </c>
    </row>
    <row r="35" spans="1:11" ht="19.8" customHeight="1">
      <c r="A35" s="60">
        <f t="shared" si="0"/>
        <v>32</v>
      </c>
      <c r="B35" s="63" t="s">
        <v>86</v>
      </c>
      <c r="C35" s="70" t="s">
        <v>84</v>
      </c>
      <c r="D35" s="54" t="s">
        <v>32</v>
      </c>
      <c r="E35" s="54">
        <v>7094741233</v>
      </c>
      <c r="F35" s="55">
        <v>208020025440685</v>
      </c>
      <c r="G35" s="54">
        <v>3795212</v>
      </c>
      <c r="H35" s="56">
        <v>710651005537</v>
      </c>
      <c r="I35" s="53" t="s">
        <v>16</v>
      </c>
      <c r="J35" s="54" t="s">
        <v>17</v>
      </c>
      <c r="K35" s="71" t="s">
        <v>18</v>
      </c>
    </row>
    <row r="36" spans="1:11" ht="33" customHeight="1">
      <c r="A36" s="60">
        <f t="shared" si="0"/>
        <v>33</v>
      </c>
      <c r="B36" s="63" t="s">
        <v>87</v>
      </c>
      <c r="C36" s="70" t="s">
        <v>88</v>
      </c>
      <c r="D36" s="54" t="s">
        <v>32</v>
      </c>
      <c r="E36" s="54">
        <v>7305650791</v>
      </c>
      <c r="F36" s="55">
        <v>208020025440684</v>
      </c>
      <c r="G36" s="54">
        <v>1048722</v>
      </c>
      <c r="H36" s="56">
        <v>710348044598</v>
      </c>
      <c r="I36" s="53" t="s">
        <v>16</v>
      </c>
      <c r="J36" s="54" t="s">
        <v>17</v>
      </c>
      <c r="K36" s="71" t="s">
        <v>18</v>
      </c>
    </row>
    <row r="37" spans="1:11" ht="24.6" customHeight="1">
      <c r="A37" s="60">
        <f t="shared" si="0"/>
        <v>34</v>
      </c>
      <c r="B37" s="63" t="s">
        <v>89</v>
      </c>
      <c r="C37" s="70" t="s">
        <v>84</v>
      </c>
      <c r="D37" s="54" t="s">
        <v>32</v>
      </c>
      <c r="E37" s="54" t="s">
        <v>90</v>
      </c>
      <c r="F37" s="55">
        <v>208020025442908</v>
      </c>
      <c r="G37" s="54">
        <v>7175932</v>
      </c>
      <c r="H37" s="56">
        <v>710647951138</v>
      </c>
      <c r="I37" s="53" t="s">
        <v>40</v>
      </c>
      <c r="J37" s="54" t="s">
        <v>17</v>
      </c>
      <c r="K37" s="71" t="s">
        <v>18</v>
      </c>
    </row>
    <row r="38" spans="1:11" ht="24.6" customHeight="1">
      <c r="A38" s="60">
        <f t="shared" si="0"/>
        <v>35</v>
      </c>
      <c r="B38" s="63" t="s">
        <v>91</v>
      </c>
      <c r="C38" s="70" t="s">
        <v>92</v>
      </c>
      <c r="D38" s="54" t="s">
        <v>14</v>
      </c>
      <c r="E38" s="54">
        <v>8428181811</v>
      </c>
      <c r="F38" s="55">
        <v>1080200527100890</v>
      </c>
      <c r="G38" s="54">
        <v>7543631</v>
      </c>
      <c r="H38" s="56">
        <v>780622734684</v>
      </c>
      <c r="I38" s="53" t="s">
        <v>16</v>
      </c>
      <c r="J38" s="54" t="s">
        <v>17</v>
      </c>
      <c r="K38" s="71" t="s">
        <v>18</v>
      </c>
    </row>
    <row r="39" spans="1:11" ht="24.6" customHeight="1">
      <c r="A39" s="60">
        <f t="shared" si="0"/>
        <v>36</v>
      </c>
      <c r="B39" s="63" t="s">
        <v>93</v>
      </c>
      <c r="C39" s="70" t="s">
        <v>94</v>
      </c>
      <c r="D39" s="54" t="s">
        <v>95</v>
      </c>
      <c r="E39" s="54">
        <v>9787676607</v>
      </c>
      <c r="F39" s="55">
        <v>208020052748717</v>
      </c>
      <c r="G39" s="54">
        <v>5967333</v>
      </c>
      <c r="H39" s="56">
        <v>710655646138</v>
      </c>
      <c r="I39" s="53" t="s">
        <v>16</v>
      </c>
      <c r="J39" s="54" t="s">
        <v>17</v>
      </c>
      <c r="K39" s="71" t="s">
        <v>18</v>
      </c>
    </row>
    <row r="40" spans="1:11" ht="37.200000000000003" customHeight="1" thickBot="1">
      <c r="A40" s="60">
        <v>37</v>
      </c>
      <c r="B40" s="63" t="s">
        <v>96</v>
      </c>
      <c r="C40" s="72" t="s">
        <v>97</v>
      </c>
      <c r="D40" s="73" t="s">
        <v>14</v>
      </c>
      <c r="E40" s="73">
        <v>7402133940</v>
      </c>
      <c r="F40" s="74" t="s">
        <v>98</v>
      </c>
      <c r="G40" s="73">
        <v>5712641</v>
      </c>
      <c r="H40" s="75"/>
      <c r="I40" s="76" t="s">
        <v>16</v>
      </c>
      <c r="J40" s="73" t="s">
        <v>99</v>
      </c>
      <c r="K40" s="77" t="s">
        <v>100</v>
      </c>
    </row>
  </sheetData>
  <mergeCells count="1">
    <mergeCell ref="C1:K1"/>
  </mergeCells>
  <pageMargins left="1" right="1" top="1" bottom="1" header="0.5" footer="0.5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3"/>
  <sheetViews>
    <sheetView workbookViewId="0">
      <selection activeCell="P15" sqref="P15"/>
    </sheetView>
  </sheetViews>
  <sheetFormatPr defaultRowHeight="15.6"/>
  <cols>
    <col min="1" max="1" width="6.44140625" style="6" customWidth="1"/>
    <col min="2" max="2" width="22" style="6" customWidth="1"/>
    <col min="3" max="3" width="22.21875" style="6" customWidth="1"/>
    <col min="4" max="4" width="8.88671875" style="6"/>
    <col min="5" max="5" width="13.109375" style="6" customWidth="1"/>
    <col min="6" max="6" width="18.88671875" style="6" customWidth="1"/>
    <col min="7" max="7" width="11.5546875" style="6" customWidth="1"/>
    <col min="8" max="8" width="15" style="6" customWidth="1"/>
    <col min="9" max="9" width="19.77734375" style="6" hidden="1" customWidth="1"/>
    <col min="10" max="10" width="8.5546875" style="6" customWidth="1"/>
    <col min="11" max="11" width="14.33203125" style="6" customWidth="1"/>
    <col min="12" max="12" width="17.21875" style="6" customWidth="1"/>
    <col min="13" max="13" width="0" style="6" hidden="1" customWidth="1"/>
    <col min="14" max="14" width="18.109375" style="6" customWidth="1"/>
    <col min="15" max="16384" width="8.88671875" style="6"/>
  </cols>
  <sheetData>
    <row r="1" spans="1:19" ht="16.2" thickBot="1"/>
    <row r="2" spans="1:19" ht="31.2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8" t="s">
        <v>7</v>
      </c>
      <c r="H2" s="9" t="s">
        <v>8</v>
      </c>
      <c r="I2" s="9" t="s">
        <v>101</v>
      </c>
      <c r="J2" s="8" t="s">
        <v>9</v>
      </c>
      <c r="K2" s="8" t="s">
        <v>10</v>
      </c>
      <c r="L2" s="8" t="s">
        <v>11</v>
      </c>
      <c r="M2" s="8" t="s">
        <v>11</v>
      </c>
      <c r="N2" s="8" t="s">
        <v>109</v>
      </c>
    </row>
    <row r="3" spans="1:19" s="12" customFormat="1">
      <c r="A3" s="10">
        <v>1</v>
      </c>
      <c r="B3" s="1" t="s">
        <v>89</v>
      </c>
      <c r="C3" s="1" t="s">
        <v>84</v>
      </c>
      <c r="D3" s="1" t="s">
        <v>32</v>
      </c>
      <c r="E3" s="1">
        <v>9500883836</v>
      </c>
      <c r="F3" s="2">
        <v>208020025445908</v>
      </c>
      <c r="G3" s="1">
        <v>7175932</v>
      </c>
      <c r="H3" s="3">
        <v>710647951138</v>
      </c>
      <c r="I3" s="3">
        <v>638388746779</v>
      </c>
      <c r="J3" s="1" t="s">
        <v>40</v>
      </c>
      <c r="K3" s="5" t="s">
        <v>17</v>
      </c>
      <c r="L3" s="1" t="s">
        <v>18</v>
      </c>
      <c r="M3" s="25"/>
      <c r="N3" s="15"/>
      <c r="O3" s="11"/>
      <c r="P3" s="11"/>
      <c r="Q3" s="11"/>
      <c r="R3" s="11"/>
      <c r="S3" s="11"/>
    </row>
    <row r="4" spans="1:19">
      <c r="A4" s="13">
        <v>2</v>
      </c>
      <c r="B4" s="14" t="s">
        <v>28</v>
      </c>
      <c r="C4" s="1" t="s">
        <v>29</v>
      </c>
      <c r="D4" s="1" t="s">
        <v>14</v>
      </c>
      <c r="E4" s="1">
        <v>8667250749</v>
      </c>
      <c r="F4" s="4">
        <v>108020052745728</v>
      </c>
      <c r="G4" s="1">
        <v>8322931</v>
      </c>
      <c r="H4" s="3">
        <v>710646155998</v>
      </c>
      <c r="I4" s="3"/>
      <c r="J4" s="1" t="s">
        <v>16</v>
      </c>
      <c r="K4" s="1" t="s">
        <v>17</v>
      </c>
      <c r="L4" s="1" t="s">
        <v>18</v>
      </c>
      <c r="M4" s="25" t="s">
        <v>102</v>
      </c>
      <c r="N4" s="15"/>
    </row>
    <row r="5" spans="1:19">
      <c r="A5" s="13">
        <f t="shared" ref="A5:A10" si="0">A4+1</f>
        <v>3</v>
      </c>
      <c r="B5" s="1" t="s">
        <v>19</v>
      </c>
      <c r="C5" s="1" t="s">
        <v>20</v>
      </c>
      <c r="D5" s="1" t="s">
        <v>14</v>
      </c>
      <c r="E5" s="1">
        <v>9677707689</v>
      </c>
      <c r="F5" s="2">
        <v>108020052741156</v>
      </c>
      <c r="G5" s="1">
        <v>5394031</v>
      </c>
      <c r="H5" s="3">
        <v>710644646877</v>
      </c>
      <c r="I5" s="3"/>
      <c r="J5" s="1" t="s">
        <v>16</v>
      </c>
      <c r="K5" s="1" t="s">
        <v>17</v>
      </c>
      <c r="L5" s="1" t="s">
        <v>18</v>
      </c>
      <c r="M5" s="25" t="s">
        <v>102</v>
      </c>
      <c r="N5" s="15"/>
    </row>
    <row r="6" spans="1:19">
      <c r="A6" s="13">
        <f t="shared" si="0"/>
        <v>4</v>
      </c>
      <c r="B6" s="1" t="s">
        <v>37</v>
      </c>
      <c r="C6" s="1" t="s">
        <v>26</v>
      </c>
      <c r="D6" s="1" t="s">
        <v>14</v>
      </c>
      <c r="E6" s="1">
        <v>8760666261</v>
      </c>
      <c r="F6" s="2">
        <v>208020025440683</v>
      </c>
      <c r="G6" s="1">
        <v>5477902</v>
      </c>
      <c r="H6" s="3">
        <v>710649034456</v>
      </c>
      <c r="I6" s="3"/>
      <c r="J6" s="1" t="s">
        <v>16</v>
      </c>
      <c r="K6" s="1" t="s">
        <v>17</v>
      </c>
      <c r="L6" s="1" t="s">
        <v>18</v>
      </c>
      <c r="M6" s="25" t="s">
        <v>103</v>
      </c>
      <c r="N6" s="15"/>
    </row>
    <row r="7" spans="1:19">
      <c r="A7" s="13">
        <f t="shared" si="0"/>
        <v>5</v>
      </c>
      <c r="B7" s="14" t="s">
        <v>25</v>
      </c>
      <c r="C7" s="1" t="s">
        <v>26</v>
      </c>
      <c r="D7" s="1" t="s">
        <v>14</v>
      </c>
      <c r="E7" s="1">
        <v>7010530596</v>
      </c>
      <c r="F7" s="4">
        <v>108020052745729</v>
      </c>
      <c r="G7" s="1">
        <v>7979461</v>
      </c>
      <c r="H7" s="3">
        <v>710645788256</v>
      </c>
      <c r="I7" s="3"/>
      <c r="J7" s="1" t="s">
        <v>16</v>
      </c>
      <c r="K7" s="1" t="s">
        <v>17</v>
      </c>
      <c r="L7" s="1" t="s">
        <v>18</v>
      </c>
      <c r="M7" s="25" t="s">
        <v>102</v>
      </c>
      <c r="N7" s="15"/>
      <c r="P7" s="15"/>
    </row>
    <row r="8" spans="1:19">
      <c r="A8" s="13">
        <f t="shared" si="0"/>
        <v>6</v>
      </c>
      <c r="B8" s="1" t="s">
        <v>38</v>
      </c>
      <c r="C8" s="1" t="s">
        <v>39</v>
      </c>
      <c r="D8" s="1" t="s">
        <v>14</v>
      </c>
      <c r="E8" s="1">
        <v>8072298381</v>
      </c>
      <c r="F8" s="2">
        <v>208020052740675</v>
      </c>
      <c r="G8" s="1">
        <v>2661452</v>
      </c>
      <c r="H8" s="3">
        <v>710650613817</v>
      </c>
      <c r="I8" s="3"/>
      <c r="J8" s="1" t="s">
        <v>40</v>
      </c>
      <c r="K8" s="1" t="s">
        <v>17</v>
      </c>
      <c r="L8" s="1" t="s">
        <v>18</v>
      </c>
      <c r="M8" s="25" t="s">
        <v>102</v>
      </c>
      <c r="N8" s="15"/>
    </row>
    <row r="9" spans="1:19">
      <c r="A9" s="13">
        <f t="shared" si="0"/>
        <v>7</v>
      </c>
      <c r="B9" s="14" t="s">
        <v>41</v>
      </c>
      <c r="C9" s="1" t="s">
        <v>42</v>
      </c>
      <c r="D9" s="1" t="s">
        <v>32</v>
      </c>
      <c r="E9" s="1">
        <v>9487342969</v>
      </c>
      <c r="F9" s="2">
        <v>208020025441586</v>
      </c>
      <c r="G9" s="1">
        <v>7306282</v>
      </c>
      <c r="H9" s="3">
        <v>710651899266</v>
      </c>
      <c r="I9" s="3"/>
      <c r="J9" s="1" t="s">
        <v>16</v>
      </c>
      <c r="K9" s="1" t="s">
        <v>17</v>
      </c>
      <c r="L9" s="1" t="s">
        <v>18</v>
      </c>
      <c r="M9" s="25" t="s">
        <v>103</v>
      </c>
      <c r="N9" s="15"/>
    </row>
    <row r="10" spans="1:19">
      <c r="A10" s="13">
        <f t="shared" si="0"/>
        <v>8</v>
      </c>
      <c r="B10" s="1" t="s">
        <v>45</v>
      </c>
      <c r="C10" s="1" t="s">
        <v>46</v>
      </c>
      <c r="D10" s="1" t="s">
        <v>14</v>
      </c>
      <c r="E10" s="1">
        <v>8122709927</v>
      </c>
      <c r="F10" s="2">
        <v>108020025448726</v>
      </c>
      <c r="G10" s="1">
        <v>2930571</v>
      </c>
      <c r="H10" s="3">
        <v>710653937465</v>
      </c>
      <c r="I10" s="3"/>
      <c r="J10" s="1" t="s">
        <v>16</v>
      </c>
      <c r="K10" s="1" t="s">
        <v>17</v>
      </c>
      <c r="L10" s="1" t="s">
        <v>18</v>
      </c>
      <c r="M10" s="25" t="s">
        <v>102</v>
      </c>
      <c r="N10" s="15"/>
    </row>
    <row r="11" spans="1:19">
      <c r="A11" s="13">
        <f>[1]MY!A3+1</f>
        <v>10</v>
      </c>
      <c r="B11" s="1" t="s">
        <v>79</v>
      </c>
      <c r="C11" s="1" t="s">
        <v>80</v>
      </c>
      <c r="D11" s="1" t="s">
        <v>14</v>
      </c>
      <c r="E11" s="1">
        <v>9940174164</v>
      </c>
      <c r="F11" s="2">
        <v>208020025441576</v>
      </c>
      <c r="G11" s="1">
        <v>3565022</v>
      </c>
      <c r="H11" s="3">
        <v>710646881691</v>
      </c>
      <c r="I11" s="3"/>
      <c r="J11" s="1" t="s">
        <v>16</v>
      </c>
      <c r="K11" s="5" t="s">
        <v>17</v>
      </c>
      <c r="L11" s="1" t="s">
        <v>18</v>
      </c>
      <c r="M11" s="25" t="s">
        <v>102</v>
      </c>
      <c r="N11" s="15"/>
    </row>
    <row r="12" spans="1:19">
      <c r="A12" s="13">
        <f t="shared" ref="A12:A22" si="1">A11+1</f>
        <v>11</v>
      </c>
      <c r="B12" s="1" t="s">
        <v>53</v>
      </c>
      <c r="C12" s="1" t="s">
        <v>54</v>
      </c>
      <c r="D12" s="1" t="s">
        <v>32</v>
      </c>
      <c r="E12" s="1">
        <v>7397701642</v>
      </c>
      <c r="F12" s="2">
        <v>108020028659699</v>
      </c>
      <c r="G12" s="1">
        <v>3535791</v>
      </c>
      <c r="H12" s="3">
        <v>710656385217</v>
      </c>
      <c r="I12" s="3"/>
      <c r="J12" s="1" t="s">
        <v>16</v>
      </c>
      <c r="K12" s="5" t="s">
        <v>17</v>
      </c>
      <c r="L12" s="1" t="s">
        <v>55</v>
      </c>
      <c r="M12" s="25" t="s">
        <v>102</v>
      </c>
      <c r="N12" s="15"/>
    </row>
    <row r="13" spans="1:19">
      <c r="A13" s="13">
        <f t="shared" si="1"/>
        <v>12</v>
      </c>
      <c r="B13" s="1" t="s">
        <v>56</v>
      </c>
      <c r="C13" s="1" t="s">
        <v>57</v>
      </c>
      <c r="D13" s="1" t="s">
        <v>32</v>
      </c>
      <c r="E13" s="1">
        <v>7010771688</v>
      </c>
      <c r="F13" s="2">
        <v>208020028659954</v>
      </c>
      <c r="G13" s="1">
        <v>9254872</v>
      </c>
      <c r="H13" s="3">
        <v>710655414566</v>
      </c>
      <c r="I13" s="3"/>
      <c r="J13" s="1" t="s">
        <v>16</v>
      </c>
      <c r="K13" s="5" t="s">
        <v>17</v>
      </c>
      <c r="L13" s="1" t="s">
        <v>55</v>
      </c>
      <c r="M13" s="25" t="s">
        <v>102</v>
      </c>
      <c r="N13" s="15"/>
    </row>
    <row r="14" spans="1:19">
      <c r="A14" s="13">
        <f t="shared" si="1"/>
        <v>13</v>
      </c>
      <c r="B14" s="1" t="s">
        <v>63</v>
      </c>
      <c r="C14" s="1" t="s">
        <v>64</v>
      </c>
      <c r="D14" s="1" t="s">
        <v>14</v>
      </c>
      <c r="E14" s="1">
        <v>8940335663</v>
      </c>
      <c r="F14" s="2">
        <v>208020027396521</v>
      </c>
      <c r="G14" s="1">
        <v>5681271</v>
      </c>
      <c r="H14" s="3">
        <v>710644636867</v>
      </c>
      <c r="I14" s="3"/>
      <c r="J14" s="1" t="s">
        <v>16</v>
      </c>
      <c r="K14" s="5" t="s">
        <v>17</v>
      </c>
      <c r="L14" s="1" t="s">
        <v>17</v>
      </c>
      <c r="M14" s="25" t="s">
        <v>102</v>
      </c>
      <c r="N14" s="15"/>
    </row>
    <row r="15" spans="1:19">
      <c r="A15" s="13">
        <f t="shared" si="1"/>
        <v>14</v>
      </c>
      <c r="B15" s="1" t="s">
        <v>69</v>
      </c>
      <c r="C15" s="1" t="s">
        <v>70</v>
      </c>
      <c r="D15" s="1" t="s">
        <v>14</v>
      </c>
      <c r="E15" s="1">
        <v>9003929230</v>
      </c>
      <c r="F15" s="2">
        <v>108020027396519</v>
      </c>
      <c r="G15" s="1">
        <v>8872791</v>
      </c>
      <c r="H15" s="3">
        <v>780622438226</v>
      </c>
      <c r="I15" s="3"/>
      <c r="J15" s="1" t="s">
        <v>16</v>
      </c>
      <c r="K15" s="5" t="s">
        <v>17</v>
      </c>
      <c r="L15" s="1" t="s">
        <v>17</v>
      </c>
      <c r="M15" s="25" t="s">
        <v>103</v>
      </c>
      <c r="N15" s="15"/>
    </row>
    <row r="16" spans="1:19">
      <c r="A16" s="13">
        <f t="shared" si="1"/>
        <v>15</v>
      </c>
      <c r="B16" s="1" t="s">
        <v>61</v>
      </c>
      <c r="C16" s="1" t="s">
        <v>62</v>
      </c>
      <c r="D16" s="1" t="s">
        <v>32</v>
      </c>
      <c r="E16" s="1">
        <v>7200007177</v>
      </c>
      <c r="F16" s="2">
        <v>208020027396513</v>
      </c>
      <c r="G16" s="1">
        <v>7245012</v>
      </c>
      <c r="H16" s="3">
        <v>780622375544</v>
      </c>
      <c r="I16" s="3"/>
      <c r="J16" s="1" t="s">
        <v>16</v>
      </c>
      <c r="K16" s="5" t="s">
        <v>17</v>
      </c>
      <c r="L16" s="1" t="s">
        <v>17</v>
      </c>
      <c r="M16" s="25" t="s">
        <v>103</v>
      </c>
      <c r="N16" s="15"/>
    </row>
    <row r="17" spans="1:14">
      <c r="A17" s="13">
        <f t="shared" si="1"/>
        <v>16</v>
      </c>
      <c r="B17" s="1" t="s">
        <v>86</v>
      </c>
      <c r="C17" s="1" t="s">
        <v>84</v>
      </c>
      <c r="D17" s="1" t="s">
        <v>32</v>
      </c>
      <c r="E17" s="1">
        <v>7094741233</v>
      </c>
      <c r="F17" s="2">
        <v>208020025440685</v>
      </c>
      <c r="G17" s="1">
        <v>3795212</v>
      </c>
      <c r="H17" s="3">
        <v>710651005537</v>
      </c>
      <c r="I17" s="3"/>
      <c r="J17" s="1" t="s">
        <v>16</v>
      </c>
      <c r="K17" s="5" t="s">
        <v>17</v>
      </c>
      <c r="L17" s="1" t="s">
        <v>18</v>
      </c>
      <c r="M17" s="25" t="s">
        <v>102</v>
      </c>
      <c r="N17" s="15"/>
    </row>
    <row r="18" spans="1:14">
      <c r="A18" s="13">
        <f t="shared" si="1"/>
        <v>17</v>
      </c>
      <c r="B18" s="1" t="s">
        <v>22</v>
      </c>
      <c r="C18" s="1" t="s">
        <v>23</v>
      </c>
      <c r="D18" s="1" t="s">
        <v>14</v>
      </c>
      <c r="E18" s="1">
        <v>8940177241</v>
      </c>
      <c r="F18" s="2">
        <v>108020025441107</v>
      </c>
      <c r="G18" s="1">
        <v>5681271</v>
      </c>
      <c r="H18" s="3">
        <v>710693244487</v>
      </c>
      <c r="I18" s="3"/>
      <c r="J18" s="1" t="s">
        <v>16</v>
      </c>
      <c r="K18" s="1" t="s">
        <v>17</v>
      </c>
      <c r="L18" s="1" t="s">
        <v>18</v>
      </c>
      <c r="M18" s="25" t="s">
        <v>102</v>
      </c>
      <c r="N18" s="15"/>
    </row>
    <row r="19" spans="1:14">
      <c r="A19" s="13">
        <f t="shared" si="1"/>
        <v>18</v>
      </c>
      <c r="B19" s="1" t="s">
        <v>87</v>
      </c>
      <c r="C19" s="1" t="s">
        <v>88</v>
      </c>
      <c r="D19" s="1" t="s">
        <v>32</v>
      </c>
      <c r="E19" s="1">
        <v>7305650791</v>
      </c>
      <c r="F19" s="2">
        <v>208020025440684</v>
      </c>
      <c r="G19" s="1">
        <v>1048722</v>
      </c>
      <c r="H19" s="3">
        <v>710348044598</v>
      </c>
      <c r="I19" s="3"/>
      <c r="J19" s="1" t="s">
        <v>16</v>
      </c>
      <c r="K19" s="5" t="s">
        <v>17</v>
      </c>
      <c r="L19" s="1" t="s">
        <v>18</v>
      </c>
      <c r="M19" s="25" t="s">
        <v>103</v>
      </c>
      <c r="N19" s="15"/>
    </row>
    <row r="20" spans="1:14" ht="31.2">
      <c r="A20" s="13">
        <f t="shared" si="1"/>
        <v>19</v>
      </c>
      <c r="B20" s="5" t="s">
        <v>83</v>
      </c>
      <c r="C20" s="1" t="s">
        <v>84</v>
      </c>
      <c r="D20" s="1" t="s">
        <v>32</v>
      </c>
      <c r="E20" s="1">
        <v>9342061014</v>
      </c>
      <c r="F20" s="16" t="s">
        <v>104</v>
      </c>
      <c r="G20" s="1">
        <v>1787892</v>
      </c>
      <c r="H20" s="3">
        <v>710652975378</v>
      </c>
      <c r="I20" s="3"/>
      <c r="J20" s="1" t="s">
        <v>16</v>
      </c>
      <c r="K20" s="1" t="s">
        <v>17</v>
      </c>
      <c r="L20" s="1" t="s">
        <v>18</v>
      </c>
      <c r="M20" s="26" t="s">
        <v>103</v>
      </c>
      <c r="N20" s="15"/>
    </row>
    <row r="21" spans="1:14">
      <c r="A21" s="13">
        <f t="shared" si="1"/>
        <v>20</v>
      </c>
      <c r="B21" s="1" t="s">
        <v>75</v>
      </c>
      <c r="C21" s="1" t="s">
        <v>76</v>
      </c>
      <c r="D21" s="1" t="s">
        <v>32</v>
      </c>
      <c r="E21" s="1">
        <v>9751098179</v>
      </c>
      <c r="F21" s="2">
        <v>208020025448728</v>
      </c>
      <c r="G21" s="1">
        <v>6615472</v>
      </c>
      <c r="H21" s="3">
        <v>710654954049</v>
      </c>
      <c r="I21" s="3"/>
      <c r="J21" s="1" t="s">
        <v>16</v>
      </c>
      <c r="K21" s="5" t="s">
        <v>17</v>
      </c>
      <c r="L21" s="1" t="s">
        <v>17</v>
      </c>
      <c r="M21" s="25" t="s">
        <v>102</v>
      </c>
      <c r="N21" s="15"/>
    </row>
    <row r="22" spans="1:14" ht="16.2" thickBot="1">
      <c r="A22" s="17">
        <f t="shared" si="1"/>
        <v>21</v>
      </c>
      <c r="B22" s="18" t="s">
        <v>33</v>
      </c>
      <c r="C22" s="18" t="s">
        <v>20</v>
      </c>
      <c r="D22" s="18" t="s">
        <v>14</v>
      </c>
      <c r="E22" s="18">
        <v>9597576929</v>
      </c>
      <c r="F22" s="19">
        <v>108020025441152</v>
      </c>
      <c r="G22" s="18">
        <v>5620821</v>
      </c>
      <c r="H22" s="20">
        <v>710648378009</v>
      </c>
      <c r="I22" s="20"/>
      <c r="J22" s="18" t="s">
        <v>16</v>
      </c>
      <c r="K22" s="18" t="s">
        <v>17</v>
      </c>
      <c r="L22" s="18" t="s">
        <v>18</v>
      </c>
      <c r="M22" s="27" t="s">
        <v>103</v>
      </c>
      <c r="N22" s="15"/>
    </row>
    <row r="23" spans="1:14" hidden="1">
      <c r="A23" s="21">
        <v>22</v>
      </c>
      <c r="B23" s="22" t="s">
        <v>105</v>
      </c>
      <c r="C23" s="22" t="s">
        <v>106</v>
      </c>
      <c r="D23" s="22" t="s">
        <v>14</v>
      </c>
      <c r="E23" s="22">
        <v>7402133940</v>
      </c>
      <c r="F23" s="23" t="s">
        <v>107</v>
      </c>
      <c r="G23" s="24">
        <v>5712641</v>
      </c>
      <c r="H23" s="24"/>
      <c r="I23" s="23" t="s">
        <v>108</v>
      </c>
      <c r="J23" s="21"/>
      <c r="K23" s="21"/>
      <c r="L23" s="21"/>
      <c r="M23" s="21"/>
    </row>
  </sheetData>
  <pageMargins left="0.7" right="0.7" top="0.75" bottom="0.75" header="0.3" footer="0.3"/>
  <pageSetup scale="4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L8"/>
  <sheetViews>
    <sheetView workbookViewId="0">
      <selection activeCell="D19" sqref="D19"/>
    </sheetView>
  </sheetViews>
  <sheetFormatPr defaultColWidth="18.21875" defaultRowHeight="14.4"/>
  <cols>
    <col min="1" max="1" width="6.88671875" customWidth="1"/>
    <col min="3" max="3" width="21.21875" customWidth="1"/>
    <col min="4" max="4" width="12" customWidth="1"/>
    <col min="6" max="6" width="23.109375" customWidth="1"/>
    <col min="7" max="7" width="13.44140625" customWidth="1"/>
    <col min="9" max="9" width="11.33203125" customWidth="1"/>
    <col min="10" max="10" width="15.77734375" customWidth="1"/>
    <col min="11" max="11" width="15.21875" customWidth="1"/>
    <col min="12" max="12" width="13.109375" customWidth="1"/>
  </cols>
  <sheetData>
    <row r="3" spans="1:12" s="30" customFormat="1" ht="36">
      <c r="A3" s="28" t="s">
        <v>1</v>
      </c>
      <c r="B3" s="28" t="s">
        <v>2</v>
      </c>
      <c r="C3" s="28" t="s">
        <v>3</v>
      </c>
      <c r="D3" s="28" t="s">
        <v>4</v>
      </c>
      <c r="E3" s="28" t="s">
        <v>5</v>
      </c>
      <c r="F3" s="29" t="s">
        <v>6</v>
      </c>
      <c r="G3" s="28" t="s">
        <v>7</v>
      </c>
      <c r="H3" s="29" t="s">
        <v>8</v>
      </c>
      <c r="I3" s="28" t="s">
        <v>9</v>
      </c>
      <c r="J3" s="28" t="s">
        <v>10</v>
      </c>
      <c r="K3" s="28" t="s">
        <v>11</v>
      </c>
      <c r="L3" s="28" t="s">
        <v>109</v>
      </c>
    </row>
    <row r="4" spans="1:12" ht="18">
      <c r="A4" s="40">
        <v>1</v>
      </c>
      <c r="B4" s="31" t="s">
        <v>35</v>
      </c>
      <c r="C4" s="32" t="s">
        <v>36</v>
      </c>
      <c r="D4" s="32" t="s">
        <v>32</v>
      </c>
      <c r="E4" s="32">
        <v>9361575801</v>
      </c>
      <c r="F4" s="33">
        <v>208020052745730</v>
      </c>
      <c r="G4" s="32">
        <v>3927492</v>
      </c>
      <c r="H4" s="34">
        <v>710649028355</v>
      </c>
      <c r="I4" s="32" t="s">
        <v>16</v>
      </c>
      <c r="J4" s="32" t="s">
        <v>17</v>
      </c>
      <c r="K4" s="32" t="s">
        <v>18</v>
      </c>
      <c r="L4" s="35"/>
    </row>
    <row r="5" spans="1:12" ht="18">
      <c r="A5" s="40">
        <f t="shared" ref="A5:A8" si="0">A4+1</f>
        <v>2</v>
      </c>
      <c r="B5" s="36" t="s">
        <v>110</v>
      </c>
      <c r="C5" s="32" t="s">
        <v>111</v>
      </c>
      <c r="D5" s="32" t="s">
        <v>32</v>
      </c>
      <c r="E5" s="32">
        <v>9578697352</v>
      </c>
      <c r="F5" s="33">
        <v>2080200527169510</v>
      </c>
      <c r="G5" s="32">
        <v>9780522</v>
      </c>
      <c r="H5" s="34">
        <v>781378028403</v>
      </c>
      <c r="I5" s="32" t="s">
        <v>16</v>
      </c>
      <c r="J5" s="37" t="s">
        <v>17</v>
      </c>
      <c r="K5" s="32" t="s">
        <v>17</v>
      </c>
      <c r="L5" s="35"/>
    </row>
    <row r="6" spans="1:12" ht="36">
      <c r="A6" s="40">
        <f t="shared" si="0"/>
        <v>3</v>
      </c>
      <c r="B6" s="36" t="s">
        <v>77</v>
      </c>
      <c r="C6" s="32" t="s">
        <v>78</v>
      </c>
      <c r="D6" s="32" t="s">
        <v>32</v>
      </c>
      <c r="E6" s="32">
        <v>9952537427</v>
      </c>
      <c r="F6" s="38" t="s">
        <v>112</v>
      </c>
      <c r="G6" s="32">
        <v>3848542</v>
      </c>
      <c r="H6" s="34">
        <v>780622836912</v>
      </c>
      <c r="I6" s="32" t="s">
        <v>40</v>
      </c>
      <c r="J6" s="37" t="s">
        <v>17</v>
      </c>
      <c r="K6" s="32" t="s">
        <v>17</v>
      </c>
      <c r="L6" s="35"/>
    </row>
    <row r="7" spans="1:12" ht="18">
      <c r="A7" s="40">
        <f t="shared" si="0"/>
        <v>4</v>
      </c>
      <c r="B7" s="36" t="s">
        <v>59</v>
      </c>
      <c r="C7" s="32" t="s">
        <v>60</v>
      </c>
      <c r="D7" s="32" t="s">
        <v>32</v>
      </c>
      <c r="E7" s="32">
        <v>9629690021</v>
      </c>
      <c r="F7" s="33">
        <v>208020027398284</v>
      </c>
      <c r="G7" s="32">
        <v>2633692</v>
      </c>
      <c r="H7" s="34">
        <v>780622909189</v>
      </c>
      <c r="I7" s="32" t="s">
        <v>16</v>
      </c>
      <c r="J7" s="37" t="s">
        <v>17</v>
      </c>
      <c r="K7" s="32" t="s">
        <v>17</v>
      </c>
      <c r="L7" s="35"/>
    </row>
    <row r="8" spans="1:12" ht="18">
      <c r="A8" s="40">
        <f t="shared" si="0"/>
        <v>5</v>
      </c>
      <c r="B8" s="36" t="s">
        <v>113</v>
      </c>
      <c r="C8" s="32" t="s">
        <v>114</v>
      </c>
      <c r="D8" s="32" t="s">
        <v>32</v>
      </c>
      <c r="E8" s="32">
        <v>7010950947</v>
      </c>
      <c r="F8" s="39" t="s">
        <v>115</v>
      </c>
      <c r="G8" s="32">
        <v>9878092</v>
      </c>
      <c r="H8" s="34">
        <v>782185110453</v>
      </c>
      <c r="I8" s="32" t="s">
        <v>16</v>
      </c>
      <c r="J8" s="37" t="s">
        <v>17</v>
      </c>
      <c r="K8" s="32" t="s">
        <v>17</v>
      </c>
      <c r="L8" s="35"/>
    </row>
  </sheetData>
  <pageMargins left="0.7" right="0.7" top="0.75" bottom="0.75" header="0.3" footer="0.3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opLeftCell="A73" workbookViewId="0">
      <selection activeCell="D52" sqref="D52"/>
    </sheetView>
  </sheetViews>
  <sheetFormatPr defaultRowHeight="39.6" customHeight="1"/>
  <cols>
    <col min="1" max="1" width="18.33203125" customWidth="1"/>
    <col min="2" max="2" width="37.88671875" customWidth="1"/>
    <col min="3" max="3" width="30.44140625" customWidth="1"/>
    <col min="4" max="4" width="28" customWidth="1"/>
  </cols>
  <sheetData>
    <row r="1" spans="1:4" ht="39.6" customHeight="1">
      <c r="A1" s="41" t="s">
        <v>116</v>
      </c>
      <c r="B1" s="42" t="s">
        <v>117</v>
      </c>
      <c r="C1" s="43" t="s">
        <v>118</v>
      </c>
      <c r="D1" s="44" t="s">
        <v>119</v>
      </c>
    </row>
    <row r="2" spans="1:4" ht="39.6" customHeight="1">
      <c r="A2" s="45">
        <v>44291</v>
      </c>
      <c r="B2" s="42" t="s">
        <v>120</v>
      </c>
      <c r="C2" s="43" t="s">
        <v>121</v>
      </c>
      <c r="D2" s="46">
        <v>190000</v>
      </c>
    </row>
    <row r="3" spans="1:4" ht="39.6" customHeight="1">
      <c r="A3" s="45">
        <v>44375</v>
      </c>
      <c r="B3" s="42" t="s">
        <v>122</v>
      </c>
      <c r="C3" s="43" t="s">
        <v>123</v>
      </c>
      <c r="D3" s="46">
        <v>120000</v>
      </c>
    </row>
    <row r="4" spans="1:4" ht="39.6" customHeight="1">
      <c r="A4" s="45">
        <v>44389</v>
      </c>
      <c r="B4" s="42" t="s">
        <v>124</v>
      </c>
      <c r="C4" s="43" t="s">
        <v>123</v>
      </c>
      <c r="D4" s="46">
        <v>100000</v>
      </c>
    </row>
    <row r="5" spans="1:4" ht="39.6" customHeight="1">
      <c r="A5" s="45">
        <v>44396</v>
      </c>
      <c r="B5" s="42" t="s">
        <v>125</v>
      </c>
      <c r="C5" s="43" t="s">
        <v>123</v>
      </c>
      <c r="D5" s="46">
        <v>125000</v>
      </c>
    </row>
    <row r="6" spans="1:4" ht="39.6" customHeight="1">
      <c r="A6" s="45">
        <v>44421</v>
      </c>
      <c r="B6" s="42" t="s">
        <v>126</v>
      </c>
      <c r="C6" s="43" t="s">
        <v>123</v>
      </c>
      <c r="D6" s="46">
        <v>200000</v>
      </c>
    </row>
    <row r="7" spans="1:4" ht="39.6" customHeight="1">
      <c r="A7" s="45">
        <v>44431</v>
      </c>
      <c r="B7" s="42" t="s">
        <v>127</v>
      </c>
      <c r="C7" s="43" t="s">
        <v>123</v>
      </c>
      <c r="D7" s="46">
        <v>40000</v>
      </c>
    </row>
    <row r="8" spans="1:4" ht="39.6" customHeight="1">
      <c r="A8" s="45">
        <v>44438</v>
      </c>
      <c r="B8" s="42" t="s">
        <v>128</v>
      </c>
      <c r="C8" s="43" t="s">
        <v>123</v>
      </c>
      <c r="D8" s="46">
        <v>30000</v>
      </c>
    </row>
    <row r="9" spans="1:4" ht="39.6" customHeight="1">
      <c r="A9" s="45">
        <v>44457</v>
      </c>
      <c r="B9" s="42" t="s">
        <v>129</v>
      </c>
      <c r="C9" s="43" t="s">
        <v>123</v>
      </c>
      <c r="D9" s="46">
        <v>450000</v>
      </c>
    </row>
    <row r="10" spans="1:4" ht="39.6" customHeight="1">
      <c r="A10" s="45">
        <v>44458</v>
      </c>
      <c r="B10" s="42" t="s">
        <v>130</v>
      </c>
      <c r="C10" s="43" t="s">
        <v>123</v>
      </c>
      <c r="D10" s="46">
        <v>249852</v>
      </c>
    </row>
    <row r="11" spans="1:4" ht="39.6" customHeight="1">
      <c r="A11" s="45">
        <v>44459</v>
      </c>
      <c r="B11" s="42" t="s">
        <v>131</v>
      </c>
      <c r="C11" s="43" t="s">
        <v>123</v>
      </c>
      <c r="D11" s="46">
        <v>200000</v>
      </c>
    </row>
    <row r="12" spans="1:4" ht="39.6" customHeight="1">
      <c r="A12" s="45">
        <v>44483</v>
      </c>
      <c r="B12" s="42" t="s">
        <v>132</v>
      </c>
      <c r="C12" s="43" t="s">
        <v>123</v>
      </c>
      <c r="D12" s="44">
        <v>100000</v>
      </c>
    </row>
    <row r="13" spans="1:4" ht="39.6" customHeight="1">
      <c r="A13" s="45">
        <v>44489</v>
      </c>
      <c r="B13" s="42" t="s">
        <v>133</v>
      </c>
      <c r="C13" s="43" t="s">
        <v>123</v>
      </c>
      <c r="D13" s="44">
        <v>200000</v>
      </c>
    </row>
    <row r="14" spans="1:4" ht="39.6" customHeight="1">
      <c r="A14" s="45">
        <v>44496</v>
      </c>
      <c r="B14" s="42" t="s">
        <v>134</v>
      </c>
      <c r="C14" s="43">
        <v>38976288</v>
      </c>
      <c r="D14" s="44">
        <v>49000</v>
      </c>
    </row>
    <row r="15" spans="1:4" ht="39.6" customHeight="1">
      <c r="A15" s="45">
        <v>44496</v>
      </c>
      <c r="B15" s="42" t="s">
        <v>135</v>
      </c>
      <c r="C15" s="43">
        <v>38976288</v>
      </c>
      <c r="D15" s="44">
        <v>47500</v>
      </c>
    </row>
    <row r="16" spans="1:4" ht="39.6" customHeight="1">
      <c r="A16" s="45">
        <v>44506</v>
      </c>
      <c r="B16" s="42" t="s">
        <v>136</v>
      </c>
      <c r="C16" s="43">
        <v>38976288</v>
      </c>
      <c r="D16" s="44">
        <v>49100</v>
      </c>
    </row>
    <row r="17" spans="1:4" ht="39.6" customHeight="1">
      <c r="A17" s="45">
        <v>44512</v>
      </c>
      <c r="B17" s="42" t="s">
        <v>134</v>
      </c>
      <c r="C17" s="43"/>
      <c r="D17" s="44">
        <v>49000</v>
      </c>
    </row>
    <row r="18" spans="1:4" ht="39.6" customHeight="1">
      <c r="A18" s="45">
        <v>44533</v>
      </c>
      <c r="B18" s="42" t="s">
        <v>134</v>
      </c>
      <c r="C18" s="43">
        <v>38976288</v>
      </c>
      <c r="D18" s="44">
        <v>46000</v>
      </c>
    </row>
    <row r="19" spans="1:4" ht="39.6" customHeight="1">
      <c r="A19" s="45">
        <v>44533</v>
      </c>
      <c r="B19" s="42" t="s">
        <v>134</v>
      </c>
      <c r="C19" s="43">
        <v>38976288</v>
      </c>
      <c r="D19" s="44">
        <v>48000</v>
      </c>
    </row>
    <row r="20" spans="1:4" ht="39.6" customHeight="1">
      <c r="A20" s="45">
        <v>44533</v>
      </c>
      <c r="B20" s="42" t="s">
        <v>134</v>
      </c>
      <c r="C20" s="43">
        <v>38976288</v>
      </c>
      <c r="D20" s="44">
        <v>46500</v>
      </c>
    </row>
    <row r="21" spans="1:4" ht="39.6" customHeight="1">
      <c r="A21" s="45">
        <v>44533</v>
      </c>
      <c r="B21" s="42" t="s">
        <v>134</v>
      </c>
      <c r="C21" s="43">
        <v>38976288</v>
      </c>
      <c r="D21" s="44">
        <v>48000</v>
      </c>
    </row>
    <row r="22" spans="1:4" ht="39.6" customHeight="1">
      <c r="A22" s="45">
        <v>44533</v>
      </c>
      <c r="B22" s="42" t="s">
        <v>134</v>
      </c>
      <c r="C22" s="43">
        <v>38976288</v>
      </c>
      <c r="D22" s="44">
        <v>44000</v>
      </c>
    </row>
    <row r="23" spans="1:4" ht="39.6" customHeight="1">
      <c r="A23" s="45">
        <v>44533</v>
      </c>
      <c r="B23" s="42" t="s">
        <v>134</v>
      </c>
      <c r="C23" s="43">
        <v>38976288</v>
      </c>
      <c r="D23" s="44">
        <v>42000</v>
      </c>
    </row>
    <row r="24" spans="1:4" ht="39.6" customHeight="1">
      <c r="A24" s="45">
        <v>44533</v>
      </c>
      <c r="B24" s="42" t="s">
        <v>134</v>
      </c>
      <c r="C24" s="43">
        <v>38976288</v>
      </c>
      <c r="D24" s="44">
        <v>46000</v>
      </c>
    </row>
    <row r="25" spans="1:4" ht="39.6" customHeight="1">
      <c r="A25" s="45">
        <v>44533</v>
      </c>
      <c r="B25" s="42" t="s">
        <v>134</v>
      </c>
      <c r="C25" s="43">
        <v>38976288</v>
      </c>
      <c r="D25" s="44">
        <v>46000</v>
      </c>
    </row>
    <row r="26" spans="1:4" ht="39.6" customHeight="1">
      <c r="A26" s="45">
        <v>44533</v>
      </c>
      <c r="B26" s="42" t="s">
        <v>134</v>
      </c>
      <c r="C26" s="43">
        <v>38976288</v>
      </c>
      <c r="D26" s="44">
        <v>46000</v>
      </c>
    </row>
    <row r="27" spans="1:4" ht="39.6" customHeight="1">
      <c r="A27" s="45">
        <v>44533</v>
      </c>
      <c r="B27" s="42" t="s">
        <v>134</v>
      </c>
      <c r="C27" s="43">
        <v>38976288</v>
      </c>
      <c r="D27" s="44">
        <v>48000</v>
      </c>
    </row>
    <row r="28" spans="1:4" ht="39.6" customHeight="1">
      <c r="A28" s="45">
        <v>44539</v>
      </c>
      <c r="B28" s="42" t="s">
        <v>137</v>
      </c>
      <c r="C28" s="43" t="s">
        <v>138</v>
      </c>
      <c r="D28" s="44">
        <v>25000</v>
      </c>
    </row>
    <row r="29" spans="1:4" ht="39.6" customHeight="1">
      <c r="A29" s="45">
        <v>44539</v>
      </c>
      <c r="B29" s="42" t="s">
        <v>139</v>
      </c>
      <c r="C29" s="43" t="s">
        <v>140</v>
      </c>
      <c r="D29" s="44">
        <v>25000</v>
      </c>
    </row>
    <row r="30" spans="1:4" ht="39.6" customHeight="1">
      <c r="A30" s="45">
        <v>44552</v>
      </c>
      <c r="B30" s="42" t="s">
        <v>141</v>
      </c>
      <c r="C30" s="43" t="s">
        <v>142</v>
      </c>
      <c r="D30" s="44">
        <v>199000</v>
      </c>
    </row>
    <row r="31" spans="1:4" ht="39.6" customHeight="1">
      <c r="A31" s="45">
        <v>44552</v>
      </c>
      <c r="B31" s="42" t="s">
        <v>143</v>
      </c>
      <c r="C31" s="43" t="s">
        <v>144</v>
      </c>
      <c r="D31" s="44">
        <v>198000</v>
      </c>
    </row>
    <row r="32" spans="1:4" ht="39.6" customHeight="1">
      <c r="A32" s="45">
        <v>44568</v>
      </c>
      <c r="B32" s="42" t="s">
        <v>145</v>
      </c>
      <c r="C32" s="43" t="s">
        <v>146</v>
      </c>
      <c r="D32" s="44">
        <v>100000</v>
      </c>
    </row>
    <row r="33" spans="1:4" ht="39.6" customHeight="1">
      <c r="A33" s="45">
        <v>44570</v>
      </c>
      <c r="B33" s="42" t="s">
        <v>147</v>
      </c>
      <c r="C33" s="43" t="s">
        <v>148</v>
      </c>
      <c r="D33" s="44">
        <v>450000</v>
      </c>
    </row>
    <row r="34" spans="1:4" ht="39.6" customHeight="1">
      <c r="A34" s="45">
        <v>44573</v>
      </c>
      <c r="B34" s="42" t="s">
        <v>149</v>
      </c>
      <c r="C34" s="43" t="s">
        <v>150</v>
      </c>
      <c r="D34" s="44">
        <v>450000</v>
      </c>
    </row>
    <row r="35" spans="1:4" ht="39.6" customHeight="1">
      <c r="A35" s="45">
        <v>44578</v>
      </c>
      <c r="B35" s="42" t="s">
        <v>151</v>
      </c>
      <c r="C35" s="43" t="s">
        <v>152</v>
      </c>
      <c r="D35" s="44">
        <v>450000</v>
      </c>
    </row>
    <row r="36" spans="1:4" ht="39.6" customHeight="1">
      <c r="A36" s="45">
        <v>44578</v>
      </c>
      <c r="B36" s="42" t="s">
        <v>120</v>
      </c>
      <c r="C36" s="43" t="s">
        <v>153</v>
      </c>
      <c r="D36" s="44">
        <v>275000</v>
      </c>
    </row>
    <row r="37" spans="1:4" ht="39.6" customHeight="1">
      <c r="A37" s="47">
        <v>44621</v>
      </c>
      <c r="B37" s="48" t="s">
        <v>154</v>
      </c>
      <c r="C37" s="48" t="s">
        <v>155</v>
      </c>
      <c r="D37" s="49">
        <v>200000</v>
      </c>
    </row>
    <row r="38" spans="1:4" ht="39.6" customHeight="1">
      <c r="A38" s="47">
        <v>44635</v>
      </c>
      <c r="B38" s="48" t="s">
        <v>156</v>
      </c>
      <c r="C38" s="48" t="s">
        <v>157</v>
      </c>
      <c r="D38" s="49">
        <v>175000</v>
      </c>
    </row>
    <row r="39" spans="1:4" ht="39.6" customHeight="1">
      <c r="A39" s="47">
        <v>44638</v>
      </c>
      <c r="B39" s="48" t="s">
        <v>158</v>
      </c>
      <c r="C39" s="48" t="s">
        <v>157</v>
      </c>
      <c r="D39" s="49">
        <v>150000</v>
      </c>
    </row>
    <row r="40" spans="1:4" ht="39.6" customHeight="1">
      <c r="A40" s="47">
        <v>44639</v>
      </c>
      <c r="B40" s="50" t="s">
        <v>159</v>
      </c>
      <c r="C40" s="50" t="s">
        <v>157</v>
      </c>
      <c r="D40" s="51">
        <v>475000</v>
      </c>
    </row>
    <row r="41" spans="1:4" ht="39.6" customHeight="1">
      <c r="A41" s="45">
        <v>44666</v>
      </c>
      <c r="B41" s="42" t="s">
        <v>160</v>
      </c>
      <c r="C41" s="43" t="s">
        <v>123</v>
      </c>
      <c r="D41" s="44">
        <v>200000</v>
      </c>
    </row>
    <row r="42" spans="1:4" ht="39.6" customHeight="1">
      <c r="A42" s="45">
        <v>44688</v>
      </c>
      <c r="B42" s="42" t="s">
        <v>161</v>
      </c>
      <c r="C42" s="43" t="s">
        <v>123</v>
      </c>
      <c r="D42" s="44">
        <v>75000</v>
      </c>
    </row>
    <row r="43" spans="1:4" ht="39.6" customHeight="1">
      <c r="A43" s="45">
        <v>44697</v>
      </c>
      <c r="B43" s="42" t="s">
        <v>162</v>
      </c>
      <c r="C43" s="43" t="s">
        <v>123</v>
      </c>
      <c r="D43" s="44">
        <v>290000</v>
      </c>
    </row>
    <row r="44" spans="1:4" ht="39.6" customHeight="1">
      <c r="A44" s="45">
        <v>44717</v>
      </c>
      <c r="B44" s="42" t="s">
        <v>163</v>
      </c>
      <c r="C44" s="43" t="s">
        <v>123</v>
      </c>
      <c r="D44" s="44">
        <v>250000</v>
      </c>
    </row>
    <row r="45" spans="1:4" ht="39.6" customHeight="1">
      <c r="A45" s="45">
        <v>44719</v>
      </c>
      <c r="B45" s="42" t="s">
        <v>164</v>
      </c>
      <c r="C45" s="43" t="s">
        <v>123</v>
      </c>
      <c r="D45" s="44">
        <v>250000</v>
      </c>
    </row>
    <row r="46" spans="1:4" ht="39.6" customHeight="1">
      <c r="A46" s="45">
        <v>44719</v>
      </c>
      <c r="B46" s="42" t="s">
        <v>165</v>
      </c>
      <c r="C46" s="43" t="s">
        <v>123</v>
      </c>
      <c r="D46" s="44">
        <v>350000</v>
      </c>
    </row>
    <row r="47" spans="1:4" ht="39.6" customHeight="1">
      <c r="A47" s="45">
        <v>44732</v>
      </c>
      <c r="B47" s="42" t="s">
        <v>166</v>
      </c>
      <c r="C47" s="43" t="s">
        <v>123</v>
      </c>
      <c r="D47" s="44">
        <v>290000</v>
      </c>
    </row>
    <row r="48" spans="1:4" ht="39.6" customHeight="1">
      <c r="A48" s="45">
        <v>44740</v>
      </c>
      <c r="B48" s="42" t="s">
        <v>167</v>
      </c>
      <c r="C48" s="43" t="s">
        <v>123</v>
      </c>
      <c r="D48" s="44">
        <v>300000</v>
      </c>
    </row>
    <row r="50" spans="4:4" ht="39.6" customHeight="1">
      <c r="D50" s="52">
        <f>SUM(D2:D42)</f>
        <v>6106952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Sheet2</vt:lpstr>
      <vt:lpstr>Sheet4</vt:lpstr>
      <vt:lpstr>Sheet3</vt:lpstr>
      <vt:lpstr>Sheet5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2025-11-20T09:48:23Z</cp:lastPrinted>
  <dcterms:created xsi:type="dcterms:W3CDTF">2025-09-01T06:03:17Z</dcterms:created>
  <dcterms:modified xsi:type="dcterms:W3CDTF">2025-11-20T09:51:04Z</dcterms:modified>
</cp:coreProperties>
</file>